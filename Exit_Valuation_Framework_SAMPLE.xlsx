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hodology" sheetId="1" state="visible" r:id="rId3"/>
    <sheet name="Summary" sheetId="2" state="visible" r:id="rId4"/>
    <sheet name="Valuation Model" sheetId="3" state="visible" r:id="rId5"/>
    <sheet name="Valuation Model 2" sheetId="4" state="visible" r:id="rId6"/>
    <sheet name="Input&gt;&gt;&gt;" sheetId="5" state="visible" r:id="rId7"/>
    <sheet name="Assumptions" sheetId="6" state="visible" r:id="rId8"/>
    <sheet name="Comps" sheetId="7" state="visible" r:id="rId9"/>
  </sheets>
  <definedNames>
    <definedName function="false" hidden="true" localSheetId="6" name="_xlnm._FilterDatabase" vbProcedure="false">Comps!$A$2:$H$536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only for Valuation model 2</t>
        </r>
      </text>
    </comment>
  </commentList>
</comments>
</file>

<file path=xl/sharedStrings.xml><?xml version="1.0" encoding="utf-8"?>
<sst xmlns="http://schemas.openxmlformats.org/spreadsheetml/2006/main" count="3021" uniqueCount="256">
  <si>
    <t xml:space="preserve">Exit Valuation Framework  (built for Cedars-Sinai Technology Ventures, June 2026)</t>
  </si>
  <si>
    <t xml:space="preserve">SAMPLE FILE: every company, valuation, ownership stake, investment and comparable in this workbook is SYNTHETIC. The structure, formulas and stage ladder are the original model's.</t>
  </si>
  <si>
    <t xml:space="preserve">EXIT VALUE = COMPARABLES YOU SUPPLY</t>
  </si>
  <si>
    <t xml:space="preserve">Each company's exit value is built bottom-up from comparables. The company's engagement status with the hospital is excluded: it does not reflect market maturity and was skewing the data.</t>
  </si>
  <si>
    <t xml:space="preserve">TWO COMP TYPES, SHOWN SEPARATELY</t>
  </si>
  <si>
    <t xml:space="preserve">   •  EXIT comps  (M&amp;A / IPO of similar companies) -  already an exit value. Median = the Exit-comp estimate.</t>
  </si>
  <si>
    <t xml:space="preserve">   •  PRIVATE comps  (recent private valuations of peers) - current value, grown to exit via a step-up. Mean × step-up = the Private-comp estimate.</t>
  </si>
  <si>
    <t xml:space="preserve">Both estimates plus their average are displayed.</t>
  </si>
  <si>
    <t xml:space="preserve">THE FORMULA</t>
  </si>
  <si>
    <t xml:space="preserve">Expected exit value to us  =  P(exit)  ×  Exit Value  ×  FD Ownership at Exit  (with the option to discount to PV)</t>
  </si>
  <si>
    <t xml:space="preserve">OWNERSHIP</t>
  </si>
  <si>
    <t xml:space="preserve">The math multiplies by the fund's fully diluted shareholding.</t>
  </si>
  <si>
    <t xml:space="preserve">PROBABILITY &amp; STAGE</t>
  </si>
  <si>
    <t xml:space="preserve">Probability uses a stage-based default, or a company-specific override (e.g. PitchBook exit predictor). Stage drives probability and timing only, not the exit value.</t>
  </si>
  <si>
    <t xml:space="preserve">Portfolio Summary</t>
  </si>
  <si>
    <t xml:space="preserve">Populates as comps and stages are filled in. Risk-adjusted = expected value.</t>
  </si>
  <si>
    <t xml:space="preserve">Estimated follow-on investment  ( Model 2)</t>
  </si>
  <si>
    <t xml:space="preserve">Gross exit value (Average basis)</t>
  </si>
  <si>
    <t xml:space="preserve">Risk-adjusted (expected), Average basis</t>
  </si>
  <si>
    <t xml:space="preserve">Total invested</t>
  </si>
  <si>
    <t xml:space="preserve">Portfolio expected MOIC (probability-weighted, all companies)</t>
  </si>
  <si>
    <t xml:space="preserve">Portfolio expected MOIC (excluding realized exit, Company 33)</t>
  </si>
  <si>
    <t xml:space="preserve">PV of risk-adjusted exit value</t>
  </si>
  <si>
    <t xml:space="preserve">Net expected MOIC incl. follow-on reserves (Model 2)</t>
  </si>
  <si>
    <t xml:space="preserve">Legacy method exit value (hardcoded multiple), for comparison</t>
  </si>
  <si>
    <t xml:space="preserve">Valuation Model </t>
  </si>
  <si>
    <t xml:space="preserve">Company</t>
  </si>
  <si>
    <t xml:space="preserve">Code</t>
  </si>
  <si>
    <t xml:space="preserve">Sector</t>
  </si>
  <si>
    <t xml:space="preserve">Stage</t>
  </si>
  <si>
    <t xml:space="preserve">Current Val internal ($)</t>
  </si>
  <si>
    <t xml:space="preserve"># Exit comps</t>
  </si>
  <si>
    <t xml:space="preserve">Exit Value using Exit comps ($) (Median)</t>
  </si>
  <si>
    <t xml:space="preserve"># Private comps</t>
  </si>
  <si>
    <t xml:space="preserve">Private peer val  mean ($)</t>
  </si>
  <si>
    <t xml:space="preserve">Step-up to exit (x)</t>
  </si>
  <si>
    <t xml:space="preserve">Exit Value using Private comps ($)</t>
  </si>
  <si>
    <t xml:space="preserve">Exit Value ($)</t>
  </si>
  <si>
    <t xml:space="preserve">Fund FD Ownership (%)</t>
  </si>
  <si>
    <t xml:space="preserve">P: default</t>
  </si>
  <si>
    <t xml:space="preserve">P: override</t>
  </si>
  <si>
    <t xml:space="preserve">P: used</t>
  </si>
  <si>
    <t xml:space="preserve">Exit Yr: default</t>
  </si>
  <si>
    <t xml:space="preserve">Exit Yr: override</t>
  </si>
  <si>
    <t xml:space="preserve">Exit Yr: used</t>
  </si>
  <si>
    <t xml:space="preserve">Gross exit to fund ($)</t>
  </si>
  <si>
    <t xml:space="preserve">Risk-Adj  Average ($)</t>
  </si>
  <si>
    <t xml:space="preserve">Risk-Adj — Exit basis ($)</t>
  </si>
  <si>
    <t xml:space="preserve">Risk-Adj — Private basis ($)</t>
  </si>
  <si>
    <t xml:space="preserve">PV of Risk-Adj ($)</t>
  </si>
  <si>
    <t xml:space="preserve">Total Invested ($)</t>
  </si>
  <si>
    <t xml:space="preserve">Exp. MOIC</t>
  </si>
  <si>
    <t xml:space="preserve">Legacy method exit ($)</t>
  </si>
  <si>
    <t xml:space="preserve">Notes</t>
  </si>
  <si>
    <t xml:space="preserve">Company 01</t>
  </si>
  <si>
    <t xml:space="preserve">PC-01</t>
  </si>
  <si>
    <t xml:space="preserve">Bio tech</t>
  </si>
  <si>
    <t xml:space="preserve">S2</t>
  </si>
  <si>
    <t xml:space="preserve">Synthetic company. Stage S2.</t>
  </si>
  <si>
    <t xml:space="preserve">Company 02</t>
  </si>
  <si>
    <t xml:space="preserve">PC-02</t>
  </si>
  <si>
    <t xml:space="preserve">D</t>
  </si>
  <si>
    <t xml:space="preserve">Synthetic company. Stage D. Written down; no comps, stage default P(exit) applies to a nil value.</t>
  </si>
  <si>
    <t xml:space="preserve">Company 03</t>
  </si>
  <si>
    <t xml:space="preserve">PC-03</t>
  </si>
  <si>
    <t xml:space="preserve">Health Tech</t>
  </si>
  <si>
    <t xml:space="preserve">S4</t>
  </si>
  <si>
    <t xml:space="preserve">Synthetic company. Stage S4.</t>
  </si>
  <si>
    <t xml:space="preserve">Company 04</t>
  </si>
  <si>
    <t xml:space="preserve">PC-04</t>
  </si>
  <si>
    <t xml:space="preserve">S7</t>
  </si>
  <si>
    <t xml:space="preserve">Synthetic company. Stage S7.</t>
  </si>
  <si>
    <t xml:space="preserve">Company 05</t>
  </si>
  <si>
    <t xml:space="preserve">PC-05</t>
  </si>
  <si>
    <t xml:space="preserve">Synthetic company. Stage S7. Private step-up set to 1.0x: peers already at exit-scale valuations.</t>
  </si>
  <si>
    <t xml:space="preserve">Company 06</t>
  </si>
  <si>
    <t xml:space="preserve">PC-06</t>
  </si>
  <si>
    <t xml:space="preserve">Company 07</t>
  </si>
  <si>
    <t xml:space="preserve">PC-07</t>
  </si>
  <si>
    <t xml:space="preserve">Med tech</t>
  </si>
  <si>
    <t xml:space="preserve">Company 08</t>
  </si>
  <si>
    <t xml:space="preserve">PC-08</t>
  </si>
  <si>
    <t xml:space="preserve">Synthetic company. Stage S7. P(exit) overridden to 39% (exit-predictor style input).</t>
  </si>
  <si>
    <t xml:space="preserve">Company 09</t>
  </si>
  <si>
    <t xml:space="preserve">PC-09</t>
  </si>
  <si>
    <t xml:space="preserve">Company 10</t>
  </si>
  <si>
    <t xml:space="preserve">PC-10</t>
  </si>
  <si>
    <t xml:space="preserve">Synthetic company. Stage S2. P(exit) overridden to 29% (exit-predictor style input).</t>
  </si>
  <si>
    <t xml:space="preserve">Company 11</t>
  </si>
  <si>
    <t xml:space="preserve">PC-11</t>
  </si>
  <si>
    <t xml:space="preserve">Synthetic company. Stage S7. P(exit) overridden to 29% (exit-predictor style input).</t>
  </si>
  <si>
    <t xml:space="preserve">Company 12</t>
  </si>
  <si>
    <t xml:space="preserve">PC-12</t>
  </si>
  <si>
    <t xml:space="preserve">Company 13</t>
  </si>
  <si>
    <t xml:space="preserve">PC-13</t>
  </si>
  <si>
    <t xml:space="preserve">Company 14</t>
  </si>
  <si>
    <t xml:space="preserve">PC-14</t>
  </si>
  <si>
    <t xml:space="preserve">Company 15</t>
  </si>
  <si>
    <t xml:space="preserve">PC-15</t>
  </si>
  <si>
    <t xml:space="preserve">Synthetic company. Stage S7. P(exit) overridden to 53% (exit-predictor style input).</t>
  </si>
  <si>
    <t xml:space="preserve">Company 16</t>
  </si>
  <si>
    <t xml:space="preserve">PC-16</t>
  </si>
  <si>
    <t xml:space="preserve">Synthetic company. Stage S7. P(exit) overridden to 38% (exit-predictor style input). Private step-up set to 1.0x: peers already at exit-scale valuations.</t>
  </si>
  <si>
    <t xml:space="preserve">Company 17</t>
  </si>
  <si>
    <t xml:space="preserve">PC-17</t>
  </si>
  <si>
    <t xml:space="preserve">S1</t>
  </si>
  <si>
    <t xml:space="preserve">Synthetic company. Stage S1. P(exit) overridden to 58% (exit-predictor style input).</t>
  </si>
  <si>
    <t xml:space="preserve">Company 18</t>
  </si>
  <si>
    <t xml:space="preserve">PC-18</t>
  </si>
  <si>
    <t xml:space="preserve">Company 19</t>
  </si>
  <si>
    <t xml:space="preserve">PC-19</t>
  </si>
  <si>
    <t xml:space="preserve">Synthetic company. Stage S7. P(exit) overridden to 90% (exit-predictor style input). Private step-up set to 1.0x: peers already at exit-scale valuations.</t>
  </si>
  <si>
    <t xml:space="preserve">Company 20</t>
  </si>
  <si>
    <t xml:space="preserve">PC-20</t>
  </si>
  <si>
    <t xml:space="preserve">S5</t>
  </si>
  <si>
    <t xml:space="preserve">Synthetic company. Stage S5.</t>
  </si>
  <si>
    <t xml:space="preserve">Company 21</t>
  </si>
  <si>
    <t xml:space="preserve">PC-21</t>
  </si>
  <si>
    <t xml:space="preserve">S3</t>
  </si>
  <si>
    <t xml:space="preserve">Synthetic company. Stage S3.</t>
  </si>
  <si>
    <t xml:space="preserve">Company 22</t>
  </si>
  <si>
    <t xml:space="preserve">PC-22</t>
  </si>
  <si>
    <t xml:space="preserve">Company 23</t>
  </si>
  <si>
    <t xml:space="preserve">PC-23</t>
  </si>
  <si>
    <t xml:space="preserve">Company 24</t>
  </si>
  <si>
    <t xml:space="preserve">PC-24</t>
  </si>
  <si>
    <t xml:space="preserve">Synthetic company. Stage S4. P(exit) overridden to 67% (exit-predictor style input).</t>
  </si>
  <si>
    <t xml:space="preserve">Company 25</t>
  </si>
  <si>
    <t xml:space="preserve">PC-25</t>
  </si>
  <si>
    <t xml:space="preserve">Company 26</t>
  </si>
  <si>
    <t xml:space="preserve">PC-26</t>
  </si>
  <si>
    <t xml:space="preserve">Synthetic company. Stage S4. P(exit) overridden to 69% (exit-predictor style input). Exit year overridden to 2034 (long regulatory path).</t>
  </si>
  <si>
    <t xml:space="preserve">Company 27</t>
  </si>
  <si>
    <t xml:space="preserve">PC-27</t>
  </si>
  <si>
    <t xml:space="preserve">Company 28</t>
  </si>
  <si>
    <t xml:space="preserve">PC-28</t>
  </si>
  <si>
    <t xml:space="preserve">Company 29</t>
  </si>
  <si>
    <t xml:space="preserve">PC-29</t>
  </si>
  <si>
    <t xml:space="preserve">Synthetic company. Stage S4. P(exit) overridden to 38% (exit-predictor style input).</t>
  </si>
  <si>
    <t xml:space="preserve">Company 30</t>
  </si>
  <si>
    <t xml:space="preserve">PC-30</t>
  </si>
  <si>
    <t xml:space="preserve">Company 31</t>
  </si>
  <si>
    <t xml:space="preserve">PC-31</t>
  </si>
  <si>
    <t xml:space="preserve">S6</t>
  </si>
  <si>
    <t xml:space="preserve">Synthetic company. Stage S6.</t>
  </si>
  <si>
    <t xml:space="preserve">Company 32</t>
  </si>
  <si>
    <t xml:space="preserve">PC-32</t>
  </si>
  <si>
    <t xml:space="preserve">Company 33</t>
  </si>
  <si>
    <t xml:space="preserve">PC-33</t>
  </si>
  <si>
    <t xml:space="preserve">X</t>
  </si>
  <si>
    <t xml:space="preserve">Synthetic company. Stage X. Realized exit: value is the actual deal, P(exit) = 100%.</t>
  </si>
  <si>
    <t xml:space="preserve">Company 34</t>
  </si>
  <si>
    <t xml:space="preserve">PC-34</t>
  </si>
  <si>
    <t xml:space="preserve">Synthetic company. Stage S2. P(exit) overridden to 76% (exit-predictor style input).</t>
  </si>
  <si>
    <t xml:space="preserve">Company 35</t>
  </si>
  <si>
    <t xml:space="preserve">PC-35</t>
  </si>
  <si>
    <t xml:space="preserve">Company 36</t>
  </si>
  <si>
    <t xml:space="preserve">PC-36</t>
  </si>
  <si>
    <t xml:space="preserve">Company 37</t>
  </si>
  <si>
    <t xml:space="preserve">PC-37</t>
  </si>
  <si>
    <t xml:space="preserve">Company 38</t>
  </si>
  <si>
    <t xml:space="preserve">PC-38</t>
  </si>
  <si>
    <t xml:space="preserve">Synthetic company. Stage S7. P(exit) overridden to 37% (exit-predictor style input).</t>
  </si>
  <si>
    <t xml:space="preserve">Company 39</t>
  </si>
  <si>
    <t xml:space="preserve">PC-39</t>
  </si>
  <si>
    <t xml:space="preserve">Company 40</t>
  </si>
  <si>
    <t xml:space="preserve">PC-40</t>
  </si>
  <si>
    <t xml:space="preserve">Company 41</t>
  </si>
  <si>
    <t xml:space="preserve">PC-41</t>
  </si>
  <si>
    <t xml:space="preserve">Company 42</t>
  </si>
  <si>
    <t xml:space="preserve">PC-42</t>
  </si>
  <si>
    <t xml:space="preserve">Synthetic company. Stage S2. P(exit) overridden to 50% (exit-predictor style input).</t>
  </si>
  <si>
    <t xml:space="preserve">TOTAL</t>
  </si>
  <si>
    <t xml:space="preserve">Excluding realized exit (Company 33)</t>
  </si>
  <si>
    <t xml:space="preserve">Valuation Model 2  (adds follow-on reserves)</t>
  </si>
  <si>
    <t xml:space="preserve">Current Val  internal ($)</t>
  </si>
  <si>
    <t xml:space="preserve">Exit Value Exit comps ($) (Median)</t>
  </si>
  <si>
    <t xml:space="preserve">Private peer val mean ($)</t>
  </si>
  <si>
    <t xml:space="preserve">Exit Value Private comps ($)</t>
  </si>
  <si>
    <t xml:space="preserve">Exit Value Average ($)</t>
  </si>
  <si>
    <t xml:space="preserve">Risk-Adj Average ($)</t>
  </si>
  <si>
    <t xml:space="preserve">Reserve ratio (stage)</t>
  </si>
  <si>
    <t xml:space="preserve">Follow-on to hold pro-rata ($)</t>
  </si>
  <si>
    <t xml:space="preserve">Total capital deployed ($)</t>
  </si>
  <si>
    <t xml:space="preserve">Net Exp. MOIC (incl. reserves)</t>
  </si>
  <si>
    <t xml:space="preserve">Assumptions </t>
  </si>
  <si>
    <t xml:space="preserve">Global parameters</t>
  </si>
  <si>
    <t xml:space="preserve">Current Year</t>
  </si>
  <si>
    <t xml:space="preserve">Discount rate (PV)</t>
  </si>
  <si>
    <t xml:space="preserve">Private peer → exit step-up</t>
  </si>
  <si>
    <t xml:space="preserve">With the exception of 1x for some.</t>
  </si>
  <si>
    <t xml:space="preserve">Legacy exit multiple (illustrative)</t>
  </si>
  <si>
    <t xml:space="preserve">Old method: exit value = current valuation x a hardcoded multiple. Used only for comparison.</t>
  </si>
  <si>
    <t xml:space="preserve">Stage ladder </t>
  </si>
  <si>
    <t xml:space="preserve">Stage name</t>
  </si>
  <si>
    <t xml:space="preserve">Description</t>
  </si>
  <si>
    <t xml:space="preserve">Default P(exit)</t>
  </si>
  <si>
    <t xml:space="preserve">Default yrs-to-exit</t>
  </si>
  <si>
    <t xml:space="preserve">Reserve Ratio</t>
  </si>
  <si>
    <t xml:space="preserve">Discovery / Concept</t>
  </si>
  <si>
    <t xml:space="preserve">Pre-seed; idea, discovery, founding science</t>
  </si>
  <si>
    <t xml:space="preserve">R&amp;D / Preclinical</t>
  </si>
  <si>
    <t xml:space="preserve">Building product; pre-human / pre-market</t>
  </si>
  <si>
    <t xml:space="preserve">Prototype / Early Pilot</t>
  </si>
  <si>
    <t xml:space="preserve">Working prototype; first pilots/deployments</t>
  </si>
  <si>
    <t xml:space="preserve">Clinical / Field Validation</t>
  </si>
  <si>
    <t xml:space="preserve">Active clinical trial or field validation underway</t>
  </si>
  <si>
    <t xml:space="preserve">Late-Stage / Pivotal</t>
  </si>
  <si>
    <t xml:space="preserve">Pivotal trial / late clinical / scaling</t>
  </si>
  <si>
    <t xml:space="preserve">Regulatory / Pre-Commercial</t>
  </si>
  <si>
    <t xml:space="preserve">In regulatory review or launch-ready</t>
  </si>
  <si>
    <t xml:space="preserve">Commercial / Revenue</t>
  </si>
  <si>
    <t xml:space="preserve">In market generating revenue</t>
  </si>
  <si>
    <t xml:space="preserve">Disengaged / Distressed</t>
  </si>
  <si>
    <t xml:space="preserve">Written down; little/no expected recovery</t>
  </si>
  <si>
    <t xml:space="preserve">Realized / Exited</t>
  </si>
  <si>
    <t xml:space="preserve">Exit already occurred (treat as certain)</t>
  </si>
  <si>
    <t xml:space="preserve">Comparables enter the comps you supply (one per row).</t>
  </si>
  <si>
    <t xml:space="preserve">Company (match model)</t>
  </si>
  <si>
    <t xml:space="preserve">Comp name</t>
  </si>
  <si>
    <t xml:space="preserve">Type</t>
  </si>
  <si>
    <t xml:space="preserve">Comp value ($)</t>
  </si>
  <si>
    <t xml:space="preserve">As-of date</t>
  </si>
  <si>
    <t xml:space="preserve">Source / notes</t>
  </si>
  <si>
    <t xml:space="preserve">Include? (Y/N)</t>
  </si>
  <si>
    <t xml:space="preserve">Reason</t>
  </si>
  <si>
    <t xml:space="preserve">Exit comp A</t>
  </si>
  <si>
    <t xml:space="preserve">Exit</t>
  </si>
  <si>
    <t xml:space="preserve">Synthetic M&amp;A/IPO comp</t>
  </si>
  <si>
    <t xml:space="preserve">N</t>
  </si>
  <si>
    <t xml:space="preserve">Different modality</t>
  </si>
  <si>
    <t xml:space="preserve">Exit comp B</t>
  </si>
  <si>
    <t xml:space="preserve">Y</t>
  </si>
  <si>
    <t xml:space="preserve">Stage- and modality-matched</t>
  </si>
  <si>
    <t xml:space="preserve">Exit comp C</t>
  </si>
  <si>
    <t xml:space="preserve">Geography mismatch</t>
  </si>
  <si>
    <t xml:space="preserve">Exit comp D</t>
  </si>
  <si>
    <t xml:space="preserve">Private peer A</t>
  </si>
  <si>
    <t xml:space="preserve">Private</t>
  </si>
  <si>
    <t xml:space="preserve">Synthetic private round</t>
  </si>
  <si>
    <t xml:space="preserve">Comparable stage and indication</t>
  </si>
  <si>
    <t xml:space="preserve">Private peer B</t>
  </si>
  <si>
    <t xml:space="preserve">Private peer C</t>
  </si>
  <si>
    <t xml:space="preserve">Peer at different stage</t>
  </si>
  <si>
    <t xml:space="preserve">Private peer D</t>
  </si>
  <si>
    <t xml:space="preserve">Private peer E</t>
  </si>
  <si>
    <t xml:space="preserve">Commercial-scale acquirer, not stage-matched</t>
  </si>
  <si>
    <t xml:space="preserve">Exit comp E</t>
  </si>
  <si>
    <t xml:space="preserve">Stale (pre-2019)</t>
  </si>
  <si>
    <t xml:space="preserve">Exit comp F</t>
  </si>
  <si>
    <t xml:space="preserve">Exit comp G</t>
  </si>
  <si>
    <t xml:space="preserve">Exit comp H</t>
  </si>
  <si>
    <t xml:space="preserve">Exit comp I</t>
  </si>
  <si>
    <t xml:space="preserve">Realized exit (actual)</t>
  </si>
  <si>
    <t xml:space="preserve">Deal terms</t>
  </si>
  <si>
    <t xml:space="preserve">Actual realized exit value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</si>
</sst>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0\x"/>
    <numFmt numFmtId="167" formatCode="0.00%"/>
    <numFmt numFmtId="168" formatCode="0"/>
    <numFmt numFmtId="169" formatCode="0.0\x"/>
    <numFmt numFmtId="170" formatCode="0.0%"/>
    <numFmt numFmtId="171" formatCode="General"/>
    <numFmt numFmtId="172" formatCode="\$#,##0.00"/>
    <numFmt numFmtId="173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2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4E79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i val="true"/>
      <sz val="10"/>
      <color rgb="FFC00000"/>
      <name val="Arial"/>
      <family val="2"/>
      <charset val="1"/>
    </font>
    <font>
      <i val="true"/>
      <sz val="10"/>
      <color theme="3" tint="-0.25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1"/>
      <color theme="3" tint="-0.25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theme="3" tint="-0.25"/>
      <name val="Arial"/>
      <family val="2"/>
      <charset val="1"/>
    </font>
    <font>
      <sz val="11"/>
      <color theme="6" tint="0.3999"/>
      <name val="Calibri"/>
      <family val="2"/>
      <charset val="1"/>
    </font>
    <font>
      <sz val="10"/>
      <name val="Arial"/>
      <family val="2"/>
      <charset val="1"/>
    </font>
    <font>
      <sz val="11"/>
      <color theme="3" tint="-0.25"/>
      <name val="Calibri"/>
      <family val="2"/>
      <charset val="1"/>
    </font>
    <font>
      <b val="true"/>
      <sz val="9"/>
      <color theme="0"/>
      <name val="Arial"/>
      <family val="2"/>
      <charset val="1"/>
    </font>
    <font>
      <b val="true"/>
      <sz val="11"/>
      <color theme="3"/>
      <name val="Arial"/>
      <family val="2"/>
      <charset val="1"/>
    </font>
    <font>
      <i val="true"/>
      <sz val="10"/>
      <color rgb="FF555555"/>
      <name val="Arial"/>
      <family val="2"/>
      <charset val="1"/>
    </font>
    <font>
      <sz val="10"/>
      <color rgb="FF7030A0"/>
      <name val="Arial"/>
      <family val="2"/>
      <charset val="1"/>
    </font>
    <font>
      <i val="true"/>
      <sz val="9"/>
      <color rgb="FFC00000"/>
      <name val="Arial"/>
      <family val="2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5E8F0"/>
        <bgColor rgb="FFDCE6F2"/>
      </patternFill>
    </fill>
    <fill>
      <patternFill patternType="solid">
        <fgColor theme="4" tint="0.7999"/>
        <bgColor rgb="FFD5E8F0"/>
      </patternFill>
    </fill>
    <fill>
      <patternFill patternType="solid">
        <fgColor rgb="FF1F4E79"/>
        <bgColor rgb="FF1F497D"/>
      </patternFill>
    </fill>
    <fill>
      <patternFill patternType="solid">
        <fgColor rgb="FFFFF2CC"/>
        <bgColor rgb="FFF2F2F2"/>
      </patternFill>
    </fill>
    <fill>
      <patternFill patternType="solid">
        <fgColor theme="8" tint="0.3999"/>
        <bgColor rgb="FF8EB4E3"/>
      </patternFill>
    </fill>
    <fill>
      <patternFill patternType="solid">
        <fgColor theme="0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theme="2" tint="-0.1"/>
        <bgColor rgb="FFDCE6F2"/>
      </patternFill>
    </fill>
    <fill>
      <patternFill patternType="solid">
        <fgColor theme="6" tint="0.3999"/>
        <bgColor rgb="FFDDD9C3"/>
      </patternFill>
    </fill>
    <fill>
      <patternFill patternType="solid">
        <fgColor theme="3" tint="0.5999"/>
        <bgColor rgb="FF93CDDD"/>
      </patternFill>
    </fill>
    <fill>
      <patternFill patternType="solid">
        <fgColor rgb="FFF2F2F2"/>
        <bgColor rgb="FFFFFFFF"/>
      </patternFill>
    </fill>
    <fill>
      <patternFill patternType="solid">
        <fgColor theme="3"/>
        <bgColor rgb="FF1F4E7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1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8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B4E3"/>
      <rgbColor rgb="FF7030A0"/>
      <rgbColor rgb="FFFFF2CC"/>
      <rgbColor rgb="FFD5E8F0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F2F2F2"/>
      <rgbColor rgb="FFFFFF99"/>
      <rgbColor rgb="FF93CDDD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17375E"/>
      <rgbColor rgb="FF339966"/>
      <rgbColor rgb="FF003300"/>
      <rgbColor rgb="FF333300"/>
      <rgbColor rgb="FF993300"/>
      <rgbColor rgb="FF993366"/>
      <rgbColor rgb="FF1F497D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3.83"/>
  </cols>
  <sheetData>
    <row r="2" customFormat="false" ht="19.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</row>
    <row r="6" customFormat="false" ht="36.75" hidden="false" customHeight="true" outlineLevel="0" collapsed="false">
      <c r="B6" s="4" t="s">
        <v>3</v>
      </c>
    </row>
    <row r="8" customFormat="false" ht="15" hidden="false" customHeight="true" outlineLevel="0" collapsed="false">
      <c r="B8" s="3" t="s">
        <v>4</v>
      </c>
    </row>
    <row r="9" customFormat="false" ht="15" hidden="false" customHeight="true" outlineLevel="0" collapsed="false">
      <c r="B9" s="4" t="s">
        <v>5</v>
      </c>
    </row>
    <row r="10" customFormat="false" ht="33" hidden="false" customHeight="true" outlineLevel="0" collapsed="false">
      <c r="B10" s="4" t="s">
        <v>6</v>
      </c>
    </row>
    <row r="11" customFormat="false" ht="42" hidden="false" customHeight="true" outlineLevel="0" collapsed="false">
      <c r="B11" s="4" t="s">
        <v>7</v>
      </c>
    </row>
    <row r="13" customFormat="false" ht="15" hidden="false" customHeight="true" outlineLevel="0" collapsed="false">
      <c r="B13" s="3" t="s">
        <v>8</v>
      </c>
    </row>
    <row r="14" customFormat="false" ht="15" hidden="false" customHeight="true" outlineLevel="0" collapsed="false">
      <c r="B14" s="5" t="s">
        <v>9</v>
      </c>
    </row>
    <row r="16" customFormat="false" ht="15" hidden="false" customHeight="true" outlineLevel="0" collapsed="false">
      <c r="B16" s="3" t="s">
        <v>10</v>
      </c>
    </row>
    <row r="17" customFormat="false" ht="15" hidden="false" customHeight="true" outlineLevel="0" collapsed="false">
      <c r="B17" s="4" t="s">
        <v>11</v>
      </c>
    </row>
    <row r="19" customFormat="false" ht="15" hidden="false" customHeight="true" outlineLevel="0" collapsed="false">
      <c r="B19" s="3" t="s">
        <v>12</v>
      </c>
    </row>
    <row r="20" customFormat="false" ht="36.75" hidden="false" customHeight="true" outlineLevel="0" collapsed="false">
      <c r="B20" s="4" t="s">
        <v>13</v>
      </c>
    </row>
    <row r="22" customFormat="false" ht="15" hidden="false" customHeight="true" outlineLevel="0" collapsed="false">
      <c r="B22" s="3"/>
    </row>
    <row r="23" customFormat="false" ht="15" hidden="false" customHeight="true" outlineLevel="0" collapsed="false">
      <c r="B23" s="4"/>
    </row>
    <row r="24" customFormat="false" ht="15" hidden="false" customHeight="true" outlineLevel="0" collapsed="false">
      <c r="B24" s="4"/>
    </row>
    <row r="25" customFormat="false" ht="15" hidden="false" customHeight="true" outlineLevel="0" collapsed="false">
      <c r="B25" s="4"/>
    </row>
    <row r="27" customFormat="false" ht="15" hidden="false" customHeight="true" outlineLevel="0" collapsed="false">
      <c r="B27" s="6"/>
    </row>
    <row r="29" customFormat="false" ht="15" hidden="false" customHeight="true" outlineLevel="0" collapsed="false">
      <c r="B2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32" zoomScaleNormal="132" zoomScalePageLayoutView="100" workbookViewId="0">
      <selection pane="topLeft" activeCell="B8" activeCellId="0" sqref="B8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8"/>
    <col collapsed="false" customWidth="true" hidden="false" outlineLevel="0" max="4" min="4" style="0" width="3"/>
  </cols>
  <sheetData>
    <row r="1" customFormat="false" ht="19.5" hidden="false" customHeight="true" outlineLevel="0" collapsed="false">
      <c r="A1" s="8" t="s">
        <v>14</v>
      </c>
    </row>
    <row r="2" customFormat="false" ht="15" hidden="false" customHeight="true" outlineLevel="0" collapsed="false">
      <c r="A2" s="9" t="s">
        <v>15</v>
      </c>
    </row>
    <row r="4" customFormat="false" ht="15" hidden="false" customHeight="true" outlineLevel="0" collapsed="false">
      <c r="A4" s="10" t="s">
        <v>16</v>
      </c>
      <c r="B4" s="11" t="n">
        <f aca="false">'Valuation Model 2'!AD45</f>
        <v>82042750</v>
      </c>
    </row>
    <row r="5" customFormat="false" ht="15" hidden="false" customHeight="true" outlineLevel="0" collapsed="false">
      <c r="A5" s="10" t="s">
        <v>17</v>
      </c>
      <c r="B5" s="11" t="n">
        <f aca="false">SUM('Valuation Model'!T3:T44)</f>
        <v>378744220.916667</v>
      </c>
    </row>
    <row r="6" customFormat="false" ht="23.25" hidden="false" customHeight="true" outlineLevel="0" collapsed="false">
      <c r="A6" s="12" t="s">
        <v>18</v>
      </c>
      <c r="B6" s="13" t="n">
        <f aca="false">SUM('Valuation Model'!U3:U44)</f>
        <v>191700296.225208</v>
      </c>
    </row>
    <row r="7" customFormat="false" ht="15" hidden="false" customHeight="true" outlineLevel="0" collapsed="false">
      <c r="A7" s="10" t="s">
        <v>19</v>
      </c>
      <c r="B7" s="11" t="n">
        <f aca="false">SUM('Valuation Model'!Y3:Y44)</f>
        <v>79962000</v>
      </c>
    </row>
    <row r="8" customFormat="false" ht="25.5" hidden="false" customHeight="true" outlineLevel="0" collapsed="false">
      <c r="A8" s="12" t="s">
        <v>20</v>
      </c>
      <c r="B8" s="14" t="n">
        <f aca="false">'Valuation Model'!Z45</f>
        <v>2.39739246423562</v>
      </c>
    </row>
    <row r="9" customFormat="false" ht="15" hidden="false" customHeight="false" outlineLevel="0" collapsed="false">
      <c r="A9" s="12" t="s">
        <v>21</v>
      </c>
      <c r="B9" s="15" t="n">
        <f aca="false">(B6-'Valuation Model'!U35)/(B7-'Valuation Model'!Y35)</f>
        <v>2.21243624722353</v>
      </c>
    </row>
    <row r="10" customFormat="false" ht="15" hidden="false" customHeight="true" outlineLevel="0" collapsed="false">
      <c r="A10" s="12" t="s">
        <v>22</v>
      </c>
      <c r="B10" s="16" t="n">
        <f aca="false">SUM('Valuation Model'!X3:X44)</f>
        <v>122746115.760033</v>
      </c>
    </row>
    <row r="11" customFormat="false" ht="15" hidden="false" customHeight="true" outlineLevel="0" collapsed="false">
      <c r="A11" s="12" t="s">
        <v>23</v>
      </c>
      <c r="B11" s="15" t="n">
        <f aca="false">'Valuation Model 2'!AF45</f>
        <v>1.18330046634564</v>
      </c>
      <c r="C11" s="17"/>
    </row>
    <row r="12" customFormat="false" ht="15" hidden="false" customHeight="true" outlineLevel="0" collapsed="false">
      <c r="A12" s="12" t="s">
        <v>24</v>
      </c>
      <c r="B12" s="16" t="n">
        <f aca="false">SUM('Valuation Model'!AA3:AA44)</f>
        <v>425399298</v>
      </c>
      <c r="C12" s="18"/>
    </row>
    <row r="13" customFormat="false" ht="15" hidden="false" customHeight="true" outlineLevel="0" collapsed="false">
      <c r="A13" s="19"/>
      <c r="B13" s="19"/>
      <c r="C13" s="18"/>
    </row>
    <row r="14" customFormat="false" ht="15" hidden="false" customHeight="true" outlineLevel="0" collapsed="false">
      <c r="A14" s="19"/>
      <c r="B14" s="19"/>
      <c r="C14" s="18"/>
    </row>
    <row r="15" customFormat="false" ht="15" hidden="false" customHeight="true" outlineLevel="0" collapsed="false">
      <c r="A15" s="19"/>
      <c r="B15" s="19"/>
      <c r="C15" s="18"/>
    </row>
    <row r="16" customFormat="false" ht="15" hidden="false" customHeight="true" outlineLevel="0" collapsed="false">
      <c r="A16" s="19"/>
      <c r="B16" s="19"/>
      <c r="C16" s="18"/>
    </row>
    <row r="17" customFormat="false" ht="15" hidden="false" customHeight="true" outlineLevel="0" collapsed="false">
      <c r="A17" s="19"/>
      <c r="B17" s="19"/>
      <c r="C17" s="18"/>
    </row>
    <row r="18" customFormat="false" ht="15" hidden="false" customHeight="true" outlineLevel="0" collapsed="false">
      <c r="A18" s="19"/>
      <c r="B18" s="19"/>
      <c r="C18" s="18"/>
    </row>
    <row r="19" customFormat="false" ht="15" hidden="false" customHeight="true" outlineLevel="0" collapsed="false">
      <c r="A19" s="19"/>
      <c r="B19" s="19"/>
      <c r="C19" s="18"/>
    </row>
    <row r="20" customFormat="false" ht="15" hidden="false" customHeight="true" outlineLevel="0" collapsed="false">
      <c r="A20" s="19"/>
      <c r="B20" s="19"/>
      <c r="C20" s="18"/>
    </row>
    <row r="21" customFormat="false" ht="15" hidden="false" customHeight="true" outlineLevel="0" collapsed="false">
      <c r="A21" s="19"/>
      <c r="B21" s="19"/>
      <c r="C21" s="18"/>
    </row>
    <row r="23" customFormat="false" ht="15" hidden="false" customHeight="true" outlineLevel="0" collapsed="false">
      <c r="A23" s="20"/>
    </row>
    <row r="24" customFormat="false" ht="15" hidden="false" customHeight="true" outlineLevel="0" collapsed="false">
      <c r="A24" s="6"/>
      <c r="B24" s="21"/>
    </row>
    <row r="25" customFormat="false" ht="15" hidden="false" customHeight="true" outlineLevel="0" collapsed="false">
      <c r="A25" s="6"/>
      <c r="B25" s="21"/>
    </row>
    <row r="26" customFormat="false" ht="15" hidden="false" customHeight="true" outlineLevel="0" collapsed="false">
      <c r="A26" s="6"/>
      <c r="B26" s="21"/>
    </row>
    <row r="27" customFormat="false" ht="15" hidden="false" customHeight="true" outlineLevel="0" collapsed="false">
      <c r="A27" s="6"/>
      <c r="B2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"/>
  <sheetViews>
    <sheetView showFormulas="false" showGridLines="false" showRowColHeaders="true" showZeros="true" rightToLeft="false" tabSelected="true" showOutlineSymbols="true" defaultGridColor="true" view="normal" topLeftCell="A1" colorId="64" zoomScale="118" zoomScaleNormal="118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Z5" activeCellId="0" sqref="Z5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.5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1" min="11" style="0" width="15.33"/>
    <col collapsed="false" customWidth="true" hidden="false" outlineLevel="0" max="12" min="12" style="0" width="29.66"/>
    <col collapsed="false" customWidth="true" hidden="false" outlineLevel="0" max="13" min="13" style="22" width="16.33"/>
    <col collapsed="false" customWidth="true" hidden="true" outlineLevel="0" max="14" min="14" style="0" width="13.5"/>
    <col collapsed="false" customWidth="true" hidden="true" outlineLevel="0" max="15" min="15" style="0" width="16"/>
    <col collapsed="false" customWidth="true" hidden="false" outlineLevel="0" max="16" min="16" style="0" width="16"/>
    <col collapsed="false" customWidth="true" hidden="true" outlineLevel="0" max="18" min="17" style="0" width="9"/>
    <col collapsed="false" customWidth="true" hidden="false" outlineLevel="0" max="19" min="19" style="0" width="9"/>
    <col collapsed="false" customWidth="true" hidden="false" outlineLevel="0" max="20" min="20" style="0" width="14"/>
    <col collapsed="false" customWidth="true" hidden="false" outlineLevel="0" max="21" min="21" style="0" width="20.51"/>
    <col collapsed="false" customWidth="true" hidden="true" outlineLevel="0" max="22" min="22" style="0" width="14"/>
    <col collapsed="false" customWidth="true" hidden="true" outlineLevel="0" max="23" min="23" style="0" width="12.33"/>
    <col collapsed="false" customWidth="true" hidden="true" outlineLevel="0" max="24" min="24" style="0" width="13"/>
    <col collapsed="false" customWidth="true" hidden="false" outlineLevel="0" max="25" min="25" style="0" width="13"/>
    <col collapsed="false" customWidth="true" hidden="false" outlineLevel="0" max="26" min="26" style="0" width="12.16"/>
    <col collapsed="false" customWidth="true" hidden="true" outlineLevel="0" max="27" min="27" style="0" width="13"/>
    <col collapsed="false" customWidth="true" hidden="true" outlineLevel="0" max="28" min="28" style="0" width="34"/>
    <col collapsed="false" customWidth="true" hidden="false" outlineLevel="0" max="29" min="29" style="0" width="102"/>
    <col collapsed="false" customWidth="true" hidden="false" outlineLevel="0" max="30" min="30" style="0" width="70"/>
  </cols>
  <sheetData>
    <row r="1" customFormat="false" ht="15" hidden="false" customHeight="true" outlineLevel="0" collapsed="false">
      <c r="A1" s="23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36" hidden="false" customHeight="true" outlineLevel="0" collapsed="false">
      <c r="A2" s="24" t="s">
        <v>26</v>
      </c>
      <c r="B2" s="24" t="s">
        <v>27</v>
      </c>
      <c r="C2" s="24" t="s">
        <v>28</v>
      </c>
      <c r="D2" s="24" t="s">
        <v>29</v>
      </c>
      <c r="E2" s="24" t="s">
        <v>30</v>
      </c>
      <c r="F2" s="24" t="s">
        <v>31</v>
      </c>
      <c r="G2" s="24" t="s">
        <v>32</v>
      </c>
      <c r="H2" s="24" t="s">
        <v>33</v>
      </c>
      <c r="I2" s="24" t="s">
        <v>34</v>
      </c>
      <c r="J2" s="24" t="s">
        <v>35</v>
      </c>
      <c r="K2" s="24" t="s">
        <v>36</v>
      </c>
      <c r="L2" s="24" t="s">
        <v>37</v>
      </c>
      <c r="M2" s="25" t="s">
        <v>38</v>
      </c>
      <c r="N2" s="24" t="s">
        <v>39</v>
      </c>
      <c r="O2" s="24" t="s">
        <v>40</v>
      </c>
      <c r="P2" s="24" t="s">
        <v>41</v>
      </c>
      <c r="Q2" s="24" t="s">
        <v>42</v>
      </c>
      <c r="R2" s="24" t="s">
        <v>43</v>
      </c>
      <c r="S2" s="24" t="s">
        <v>44</v>
      </c>
      <c r="T2" s="24" t="s">
        <v>45</v>
      </c>
      <c r="U2" s="24" t="s">
        <v>46</v>
      </c>
      <c r="V2" s="24" t="s">
        <v>47</v>
      </c>
      <c r="W2" s="24" t="s">
        <v>48</v>
      </c>
      <c r="X2" s="24" t="s">
        <v>49</v>
      </c>
      <c r="Y2" s="24" t="s">
        <v>50</v>
      </c>
      <c r="Z2" s="24" t="s">
        <v>51</v>
      </c>
      <c r="AA2" s="24" t="s">
        <v>52</v>
      </c>
      <c r="AB2" s="24" t="s">
        <v>53</v>
      </c>
    </row>
    <row r="3" customFormat="false" ht="15" hidden="false" customHeight="true" outlineLevel="0" collapsed="false">
      <c r="A3" s="26" t="s">
        <v>54</v>
      </c>
      <c r="B3" s="27" t="s">
        <v>55</v>
      </c>
      <c r="C3" s="28" t="s">
        <v>56</v>
      </c>
      <c r="D3" s="29" t="s">
        <v>57</v>
      </c>
      <c r="E3" s="30" t="n">
        <v>15790000</v>
      </c>
      <c r="F3" s="31" t="n">
        <f aca="false">COUNTIFS(Comps!$A$3:$A$700,$A3,Comps!$C$3:$C$700,"Exit",Comps!$G$3:$G$700,"Y")</f>
        <v>1</v>
      </c>
      <c r="G3" s="32" t="n">
        <f aca="false" t="array" ref="G3:G3">IFERROR(MEDIAN(IF((Comps!$A$3:$A$700=$A3)*(Comps!$C$3:$C$700="Exit")*(Comps!$G$3:$G$700="Y"),Comps!$D$3:$D$700)),0)</f>
        <v>38930000</v>
      </c>
      <c r="H3" s="31" t="n">
        <f aca="false">COUNTIFS(Comps!$A$3:$A$700,$A3,Comps!$C$3:$C$700,"Private",Comps!$G$3:$G$700,"Y")</f>
        <v>4</v>
      </c>
      <c r="I3" s="32" t="n">
        <f aca="false">IFERROR(AVERAGEIFS(Comps!$D$3:$D$700,Comps!$A$3:$A$700,$A3,Comps!$C$3:$C$700,"Private",Comps!$G$3:$G$700,"Y"),0)</f>
        <v>22752500</v>
      </c>
      <c r="J3" s="33" t="n">
        <f aca="false">Assumptions!$B$7</f>
        <v>2.5</v>
      </c>
      <c r="K3" s="32" t="n">
        <f aca="false">I3*J3</f>
        <v>56881250</v>
      </c>
      <c r="L3" s="34" t="n">
        <f aca="false">IF(AND(G3&gt;0,K3&gt;0),(G3+K3)/2,MAX(G3,K3))</f>
        <v>47905625</v>
      </c>
      <c r="M3" s="35" t="n">
        <v>0.0732</v>
      </c>
      <c r="N3" s="36" t="n">
        <f aca="false">IFERROR(INDEX(Assumptions!$D$11:$D$19,MATCH(D3,Assumptions!$A$11:$A$19,0)),0)</f>
        <v>0.13</v>
      </c>
      <c r="O3" s="37"/>
      <c r="P3" s="36" t="n">
        <f aca="false">IFERROR(IF(ISBLANK(O3),N3,O3),0)</f>
        <v>0.13</v>
      </c>
      <c r="Q3" s="38" t="n">
        <f aca="false">IFERROR(Assumptions!$B$5+INDEX(Assumptions!$E$11:$E$19,MATCH(D3,Assumptions!$A$11:$A$19,0)),Assumptions!$B$5)</f>
        <v>2033</v>
      </c>
      <c r="R3" s="39"/>
      <c r="S3" s="31" t="n">
        <f aca="false">IF(ISBLANK(R3),Q3,R3)</f>
        <v>2033</v>
      </c>
      <c r="T3" s="40" t="n">
        <f aca="false">L3*M3</f>
        <v>3506691.75</v>
      </c>
      <c r="U3" s="41" t="n">
        <f aca="false">P3*L3*M3</f>
        <v>455869.9275</v>
      </c>
      <c r="V3" s="32" t="n">
        <f aca="false">P3*G3*M3</f>
        <v>370457.88</v>
      </c>
      <c r="W3" s="32" t="n">
        <f aca="false">P3*K3*M3</f>
        <v>541281.975</v>
      </c>
      <c r="X3" s="32" t="n">
        <f aca="false">IFERROR(U3/(1+Assumptions!$B$6)^(S3-Assumptions!$B$5),0)</f>
        <v>171378.391134305</v>
      </c>
      <c r="Y3" s="30" t="n">
        <v>612000</v>
      </c>
      <c r="Z3" s="42" t="n">
        <f aca="false">IF(Y3=0,"",U3/Y3)</f>
        <v>0.74488550245098</v>
      </c>
      <c r="AA3" s="43" t="n">
        <f aca="false">E3*Assumptions!$B$8*M3</f>
        <v>3467484</v>
      </c>
      <c r="AB3" s="44" t="s">
        <v>58</v>
      </c>
    </row>
    <row r="4" customFormat="false" ht="15" hidden="false" customHeight="true" outlineLevel="0" collapsed="false">
      <c r="A4" s="26" t="s">
        <v>59</v>
      </c>
      <c r="B4" s="27" t="s">
        <v>60</v>
      </c>
      <c r="C4" s="28" t="s">
        <v>56</v>
      </c>
      <c r="D4" s="29" t="s">
        <v>61</v>
      </c>
      <c r="E4" s="30" t="n">
        <v>0</v>
      </c>
      <c r="F4" s="31" t="n">
        <f aca="false">COUNTIFS(Comps!$A$3:$A$700,$A4,Comps!$C$3:$C$700,"Exit",Comps!$G$3:$G$700,"Y")</f>
        <v>0</v>
      </c>
      <c r="G4" s="32" t="n">
        <f aca="false" t="array" ref="G4:G4">IFERROR(MEDIAN(IF((Comps!$A$3:$A$700=$A4)*(Comps!$C$3:$C$700="Exit")*(Comps!$G$3:$G$700="Y"),Comps!$D$3:$D$700)),0)</f>
        <v>0</v>
      </c>
      <c r="H4" s="31" t="n">
        <f aca="false">COUNTIFS(Comps!$A$3:$A$700,$A4,Comps!$C$3:$C$700,"Private",Comps!$G$3:$G$700,"Y")</f>
        <v>0</v>
      </c>
      <c r="I4" s="32" t="n">
        <f aca="false">IFERROR(AVERAGEIFS(Comps!$D$3:$D$700,Comps!$A$3:$A$700,$A4,Comps!$C$3:$C$700,"Private",Comps!$G$3:$G$700,"Y"),0)</f>
        <v>0</v>
      </c>
      <c r="J4" s="33" t="n">
        <f aca="false">Assumptions!$B$7</f>
        <v>2.5</v>
      </c>
      <c r="K4" s="32" t="n">
        <f aca="false">I4*J4</f>
        <v>0</v>
      </c>
      <c r="L4" s="34" t="n">
        <f aca="false">IF(AND(G4&gt;0,K4&gt;0),(G4+K4)/2,MAX(G4,K4))</f>
        <v>0</v>
      </c>
      <c r="M4" s="35" t="n">
        <v>0.0426</v>
      </c>
      <c r="N4" s="36" t="n">
        <f aca="false">IFERROR(INDEX(Assumptions!$D$11:$D$19,MATCH(D4,Assumptions!$A$11:$A$19,0)),0)</f>
        <v>0.03</v>
      </c>
      <c r="O4" s="37"/>
      <c r="P4" s="36" t="n">
        <f aca="false">IFERROR(IF(ISBLANK(O4),N4,O4),0)</f>
        <v>0.03</v>
      </c>
      <c r="Q4" s="38" t="n">
        <f aca="false">IFERROR(Assumptions!$B$5+INDEX(Assumptions!$E$11:$E$19,MATCH(D4,Assumptions!$A$11:$A$19,0)),Assumptions!$B$5)</f>
        <v>2027</v>
      </c>
      <c r="R4" s="39"/>
      <c r="S4" s="31" t="n">
        <f aca="false">IF(ISBLANK(R4),Q4,R4)</f>
        <v>2027</v>
      </c>
      <c r="T4" s="40" t="n">
        <f aca="false">L4*M4</f>
        <v>0</v>
      </c>
      <c r="U4" s="41" t="n">
        <f aca="false">P4*L4*M4</f>
        <v>0</v>
      </c>
      <c r="V4" s="32" t="n">
        <f aca="false">P4*G4*M4</f>
        <v>0</v>
      </c>
      <c r="W4" s="32" t="n">
        <f aca="false">P4*K4*M4</f>
        <v>0</v>
      </c>
      <c r="X4" s="32" t="n">
        <f aca="false">IFERROR(U4/(1+Assumptions!$B$6)^(S4-Assumptions!$B$5),0)</f>
        <v>0</v>
      </c>
      <c r="Y4" s="30" t="n">
        <v>178000</v>
      </c>
      <c r="Z4" s="42" t="n">
        <f aca="false">IF(Y4=0,"",U4/Y4)</f>
        <v>0</v>
      </c>
      <c r="AA4" s="43" t="n">
        <f aca="false">E4*Assumptions!$B$8*M4</f>
        <v>0</v>
      </c>
      <c r="AB4" s="44" t="s">
        <v>62</v>
      </c>
    </row>
    <row r="5" customFormat="false" ht="15" hidden="false" customHeight="true" outlineLevel="0" collapsed="false">
      <c r="A5" s="26" t="s">
        <v>63</v>
      </c>
      <c r="B5" s="27" t="s">
        <v>64</v>
      </c>
      <c r="C5" s="28" t="s">
        <v>65</v>
      </c>
      <c r="D5" s="29" t="s">
        <v>66</v>
      </c>
      <c r="E5" s="30" t="n">
        <v>55490000</v>
      </c>
      <c r="F5" s="31" t="n">
        <f aca="false">COUNTIFS(Comps!$A$3:$A$700,$A5,Comps!$C$3:$C$700,"Exit",Comps!$G$3:$G$700,"Y")</f>
        <v>5</v>
      </c>
      <c r="G5" s="32" t="n">
        <f aca="false" t="array" ref="G5:G5">IFERROR(MEDIAN(IF((Comps!$A$3:$A$700=$A5)*(Comps!$C$3:$C$700="Exit")*(Comps!$G$3:$G$700="Y"),Comps!$D$3:$D$700)),0)</f>
        <v>163660000</v>
      </c>
      <c r="H5" s="31" t="n">
        <f aca="false">COUNTIFS(Comps!$A$3:$A$700,$A5,Comps!$C$3:$C$700,"Private",Comps!$G$3:$G$700,"Y")</f>
        <v>4</v>
      </c>
      <c r="I5" s="32" t="n">
        <f aca="false">IFERROR(AVERAGEIFS(Comps!$D$3:$D$700,Comps!$A$3:$A$700,$A5,Comps!$C$3:$C$700,"Private",Comps!$G$3:$G$700,"Y"),0)</f>
        <v>62277500</v>
      </c>
      <c r="J5" s="33" t="n">
        <f aca="false">Assumptions!$B$7</f>
        <v>2.5</v>
      </c>
      <c r="K5" s="32" t="n">
        <f aca="false">I5*J5</f>
        <v>155693750</v>
      </c>
      <c r="L5" s="34" t="n">
        <f aca="false">IF(AND(G5&gt;0,K5&gt;0),(G5+K5)/2,MAX(G5,K5))</f>
        <v>159676875</v>
      </c>
      <c r="M5" s="35" t="n">
        <v>0.0779</v>
      </c>
      <c r="N5" s="36" t="n">
        <f aca="false">IFERROR(INDEX(Assumptions!$D$11:$D$19,MATCH(D5,Assumptions!$A$11:$A$19,0)),0)</f>
        <v>0.3</v>
      </c>
      <c r="O5" s="37"/>
      <c r="P5" s="36" t="n">
        <f aca="false">IFERROR(IF(ISBLANK(O5),N5,O5),0)</f>
        <v>0.3</v>
      </c>
      <c r="Q5" s="38" t="n">
        <f aca="false">IFERROR(Assumptions!$B$5+INDEX(Assumptions!$E$11:$E$19,MATCH(D5,Assumptions!$A$11:$A$19,0)),Assumptions!$B$5)</f>
        <v>2031</v>
      </c>
      <c r="R5" s="39"/>
      <c r="S5" s="31" t="n">
        <f aca="false">IF(ISBLANK(R5),Q5,R5)</f>
        <v>2031</v>
      </c>
      <c r="T5" s="40" t="n">
        <f aca="false">L5*M5</f>
        <v>12438828.5625</v>
      </c>
      <c r="U5" s="41" t="n">
        <f aca="false">P5*L5*M5</f>
        <v>3731648.56875</v>
      </c>
      <c r="V5" s="32" t="n">
        <f aca="false">P5*G5*M5</f>
        <v>3824734.2</v>
      </c>
      <c r="W5" s="32" t="n">
        <f aca="false">P5*K5*M5</f>
        <v>3638562.9375</v>
      </c>
      <c r="X5" s="32" t="n">
        <f aca="false">IFERROR(U5/(1+Assumptions!$B$6)^(S5-Assumptions!$B$5),0)</f>
        <v>1855288.85269166</v>
      </c>
      <c r="Y5" s="30" t="n">
        <v>3753000</v>
      </c>
      <c r="Z5" s="42" t="n">
        <f aca="false">IF(Y5=0,"",U5/Y5)</f>
        <v>0.994310836330935</v>
      </c>
      <c r="AA5" s="43" t="n">
        <f aca="false">E5*Assumptions!$B$8*M5</f>
        <v>12968013</v>
      </c>
      <c r="AB5" s="44" t="s">
        <v>67</v>
      </c>
    </row>
    <row r="6" customFormat="false" ht="15" hidden="false" customHeight="true" outlineLevel="0" collapsed="false">
      <c r="A6" s="26" t="s">
        <v>68</v>
      </c>
      <c r="B6" s="27" t="s">
        <v>69</v>
      </c>
      <c r="C6" s="28" t="s">
        <v>65</v>
      </c>
      <c r="D6" s="29" t="s">
        <v>70</v>
      </c>
      <c r="E6" s="30" t="n">
        <v>21310000</v>
      </c>
      <c r="F6" s="31" t="n">
        <f aca="false">COUNTIFS(Comps!$A$3:$A$700,$A6,Comps!$C$3:$C$700,"Exit",Comps!$G$3:$G$700,"Y")</f>
        <v>1</v>
      </c>
      <c r="G6" s="32" t="n">
        <f aca="false" t="array" ref="G6:G6">IFERROR(MEDIAN(IF((Comps!$A$3:$A$700=$A6)*(Comps!$C$3:$C$700="Exit")*(Comps!$G$3:$G$700="Y"),Comps!$D$3:$D$700)),0)</f>
        <v>29240000</v>
      </c>
      <c r="H6" s="31" t="n">
        <f aca="false">COUNTIFS(Comps!$A$3:$A$700,$A6,Comps!$C$3:$C$700,"Private",Comps!$G$3:$G$700,"Y")</f>
        <v>2</v>
      </c>
      <c r="I6" s="32" t="n">
        <f aca="false">IFERROR(AVERAGEIFS(Comps!$D$3:$D$700,Comps!$A$3:$A$700,$A6,Comps!$C$3:$C$700,"Private",Comps!$G$3:$G$700,"Y"),0)</f>
        <v>32275000</v>
      </c>
      <c r="J6" s="33" t="n">
        <f aca="false">Assumptions!$B$7</f>
        <v>2.5</v>
      </c>
      <c r="K6" s="32" t="n">
        <f aca="false">I6*J6</f>
        <v>80687500</v>
      </c>
      <c r="L6" s="34" t="n">
        <f aca="false">IF(AND(G6&gt;0,K6&gt;0),(G6+K6)/2,MAX(G6,K6))</f>
        <v>54963750</v>
      </c>
      <c r="M6" s="35" t="n">
        <v>0.1025</v>
      </c>
      <c r="N6" s="36" t="n">
        <f aca="false">IFERROR(INDEX(Assumptions!$D$11:$D$19,MATCH(D6,Assumptions!$A$11:$A$19,0)),0)</f>
        <v>0.72</v>
      </c>
      <c r="O6" s="37"/>
      <c r="P6" s="36" t="n">
        <f aca="false">IFERROR(IF(ISBLANK(O6),N6,O6),0)</f>
        <v>0.72</v>
      </c>
      <c r="Q6" s="38" t="n">
        <f aca="false">IFERROR(Assumptions!$B$5+INDEX(Assumptions!$E$11:$E$19,MATCH(D6,Assumptions!$A$11:$A$19,0)),Assumptions!$B$5)</f>
        <v>2028</v>
      </c>
      <c r="R6" s="39"/>
      <c r="S6" s="31" t="n">
        <f aca="false">IF(ISBLANK(R6),Q6,R6)</f>
        <v>2028</v>
      </c>
      <c r="T6" s="40" t="n">
        <f aca="false">L6*M6</f>
        <v>5633784.375</v>
      </c>
      <c r="U6" s="41" t="n">
        <f aca="false">P6*L6*M6</f>
        <v>4056324.75</v>
      </c>
      <c r="V6" s="32" t="n">
        <f aca="false">P6*G6*M6</f>
        <v>2157912</v>
      </c>
      <c r="W6" s="32" t="n">
        <f aca="false">P6*K6*M6</f>
        <v>5954737.5</v>
      </c>
      <c r="X6" s="32" t="n">
        <f aca="false">IFERROR(U6/(1+Assumptions!$B$6)^(S6-Assumptions!$B$5),0)</f>
        <v>3067164.27221172</v>
      </c>
      <c r="Y6" s="30" t="n">
        <v>906000</v>
      </c>
      <c r="Z6" s="42" t="n">
        <f aca="false">IF(Y6=0,"",U6/Y6)</f>
        <v>4.47717963576159</v>
      </c>
      <c r="AA6" s="43" t="n">
        <f aca="false">E6*Assumptions!$B$8*M6</f>
        <v>6552825</v>
      </c>
      <c r="AB6" s="44" t="s">
        <v>71</v>
      </c>
    </row>
    <row r="7" customFormat="false" ht="15" hidden="false" customHeight="true" outlineLevel="0" collapsed="false">
      <c r="A7" s="26" t="s">
        <v>72</v>
      </c>
      <c r="B7" s="27" t="s">
        <v>73</v>
      </c>
      <c r="C7" s="28" t="s">
        <v>56</v>
      </c>
      <c r="D7" s="29" t="s">
        <v>70</v>
      </c>
      <c r="E7" s="30" t="n">
        <v>36460000</v>
      </c>
      <c r="F7" s="31" t="n">
        <f aca="false">COUNTIFS(Comps!$A$3:$A$700,$A7,Comps!$C$3:$C$700,"Exit",Comps!$G$3:$G$700,"Y")</f>
        <v>2</v>
      </c>
      <c r="G7" s="32" t="n">
        <f aca="false" t="array" ref="G7:G7">IFERROR(MEDIAN(IF((Comps!$A$3:$A$700=$A7)*(Comps!$C$3:$C$700="Exit")*(Comps!$G$3:$G$700="Y"),Comps!$D$3:$D$700)),0)</f>
        <v>62685000</v>
      </c>
      <c r="H7" s="31" t="n">
        <f aca="false">COUNTIFS(Comps!$A$3:$A$700,$A7,Comps!$C$3:$C$700,"Private",Comps!$G$3:$G$700,"Y")</f>
        <v>2</v>
      </c>
      <c r="I7" s="32" t="n">
        <f aca="false">IFERROR(AVERAGEIFS(Comps!$D$3:$D$700,Comps!$A$3:$A$700,$A7,Comps!$C$3:$C$700,"Private",Comps!$G$3:$G$700,"Y"),0)</f>
        <v>115875000</v>
      </c>
      <c r="J7" s="33" t="n">
        <v>1</v>
      </c>
      <c r="K7" s="32" t="n">
        <f aca="false">I7*J7</f>
        <v>115875000</v>
      </c>
      <c r="L7" s="34" t="n">
        <f aca="false">IF(AND(G7&gt;0,K7&gt;0),(G7+K7)/2,MAX(G7,K7))</f>
        <v>89280000</v>
      </c>
      <c r="M7" s="35" t="n">
        <v>0.0698</v>
      </c>
      <c r="N7" s="36" t="n">
        <f aca="false">IFERROR(INDEX(Assumptions!$D$11:$D$19,MATCH(D7,Assumptions!$A$11:$A$19,0)),0)</f>
        <v>0.72</v>
      </c>
      <c r="O7" s="37"/>
      <c r="P7" s="36" t="n">
        <f aca="false">IFERROR(IF(ISBLANK(O7),N7,O7),0)</f>
        <v>0.72</v>
      </c>
      <c r="Q7" s="38" t="n">
        <f aca="false">IFERROR(Assumptions!$B$5+INDEX(Assumptions!$E$11:$E$19,MATCH(D7,Assumptions!$A$11:$A$19,0)),Assumptions!$B$5)</f>
        <v>2028</v>
      </c>
      <c r="R7" s="39"/>
      <c r="S7" s="31" t="n">
        <f aca="false">IF(ISBLANK(R7),Q7,R7)</f>
        <v>2028</v>
      </c>
      <c r="T7" s="40" t="n">
        <f aca="false">L7*M7</f>
        <v>6231744</v>
      </c>
      <c r="U7" s="41" t="n">
        <f aca="false">P7*L7*M7</f>
        <v>4486855.68</v>
      </c>
      <c r="V7" s="32" t="n">
        <f aca="false">P7*G7*M7</f>
        <v>3150297.36</v>
      </c>
      <c r="W7" s="32" t="n">
        <f aca="false">P7*K7*M7</f>
        <v>5823414</v>
      </c>
      <c r="X7" s="32" t="n">
        <f aca="false">IFERROR(U7/(1+Assumptions!$B$6)^(S7-Assumptions!$B$5),0)</f>
        <v>3392707.50850662</v>
      </c>
      <c r="Y7" s="30" t="n">
        <v>1337000</v>
      </c>
      <c r="Z7" s="42" t="n">
        <f aca="false">IF(Y7=0,"",U7/Y7)</f>
        <v>3.35591299925206</v>
      </c>
      <c r="AA7" s="43" t="n">
        <f aca="false">E7*Assumptions!$B$8*M7</f>
        <v>7634724</v>
      </c>
      <c r="AB7" s="44" t="s">
        <v>74</v>
      </c>
    </row>
    <row r="8" customFormat="false" ht="15" hidden="false" customHeight="true" outlineLevel="0" collapsed="false">
      <c r="A8" s="26" t="s">
        <v>75</v>
      </c>
      <c r="B8" s="27" t="s">
        <v>76</v>
      </c>
      <c r="C8" s="28" t="s">
        <v>65</v>
      </c>
      <c r="D8" s="29" t="s">
        <v>57</v>
      </c>
      <c r="E8" s="30" t="n">
        <v>59680000</v>
      </c>
      <c r="F8" s="31" t="n">
        <f aca="false">COUNTIFS(Comps!$A$3:$A$700,$A8,Comps!$C$3:$C$700,"Exit",Comps!$G$3:$G$700,"Y")</f>
        <v>1</v>
      </c>
      <c r="G8" s="32" t="n">
        <f aca="false" t="array" ref="G8:G8">IFERROR(MEDIAN(IF((Comps!$A$3:$A$700=$A8)*(Comps!$C$3:$C$700="Exit")*(Comps!$G$3:$G$700="Y"),Comps!$D$3:$D$700)),0)</f>
        <v>378280000</v>
      </c>
      <c r="H8" s="31" t="n">
        <f aca="false">COUNTIFS(Comps!$A$3:$A$700,$A8,Comps!$C$3:$C$700,"Private",Comps!$G$3:$G$700,"Y")</f>
        <v>1</v>
      </c>
      <c r="I8" s="32" t="n">
        <f aca="false">IFERROR(AVERAGEIFS(Comps!$D$3:$D$700,Comps!$A$3:$A$700,$A8,Comps!$C$3:$C$700,"Private",Comps!$G$3:$G$700,"Y"),0)</f>
        <v>45840000</v>
      </c>
      <c r="J8" s="33" t="n">
        <f aca="false">Assumptions!$B$7</f>
        <v>2.5</v>
      </c>
      <c r="K8" s="32" t="n">
        <f aca="false">I8*J8</f>
        <v>114600000</v>
      </c>
      <c r="L8" s="34" t="n">
        <f aca="false">IF(AND(G8&gt;0,K8&gt;0),(G8+K8)/2,MAX(G8,K8))</f>
        <v>246440000</v>
      </c>
      <c r="M8" s="35" t="n">
        <v>0.0315</v>
      </c>
      <c r="N8" s="36" t="n">
        <f aca="false">IFERROR(INDEX(Assumptions!$D$11:$D$19,MATCH(D8,Assumptions!$A$11:$A$19,0)),0)</f>
        <v>0.13</v>
      </c>
      <c r="O8" s="37"/>
      <c r="P8" s="36" t="n">
        <f aca="false">IFERROR(IF(ISBLANK(O8),N8,O8),0)</f>
        <v>0.13</v>
      </c>
      <c r="Q8" s="38" t="n">
        <f aca="false">IFERROR(Assumptions!$B$5+INDEX(Assumptions!$E$11:$E$19,MATCH(D8,Assumptions!$A$11:$A$19,0)),Assumptions!$B$5)</f>
        <v>2033</v>
      </c>
      <c r="R8" s="39"/>
      <c r="S8" s="31" t="n">
        <f aca="false">IF(ISBLANK(R8),Q8,R8)</f>
        <v>2033</v>
      </c>
      <c r="T8" s="40" t="n">
        <f aca="false">L8*M8</f>
        <v>7762860</v>
      </c>
      <c r="U8" s="41" t="n">
        <f aca="false">P8*L8*M8</f>
        <v>1009171.8</v>
      </c>
      <c r="V8" s="32" t="n">
        <f aca="false">P8*G8*M8</f>
        <v>1549056.6</v>
      </c>
      <c r="W8" s="32" t="n">
        <f aca="false">P8*K8*M8</f>
        <v>469287</v>
      </c>
      <c r="X8" s="32" t="n">
        <f aca="false">IFERROR(U8/(1+Assumptions!$B$6)^(S8-Assumptions!$B$5),0)</f>
        <v>379385.059265859</v>
      </c>
      <c r="Y8" s="30" t="n">
        <v>1648000</v>
      </c>
      <c r="Z8" s="42" t="n">
        <f aca="false">IF(Y8=0,"",U8/Y8)</f>
        <v>0.612361529126214</v>
      </c>
      <c r="AA8" s="43" t="n">
        <f aca="false">E8*Assumptions!$B$8*M8</f>
        <v>5639760</v>
      </c>
      <c r="AB8" s="44" t="s">
        <v>58</v>
      </c>
    </row>
    <row r="9" customFormat="false" ht="15" hidden="false" customHeight="true" outlineLevel="0" collapsed="false">
      <c r="A9" s="26" t="s">
        <v>77</v>
      </c>
      <c r="B9" s="27" t="s">
        <v>78</v>
      </c>
      <c r="C9" s="28" t="s">
        <v>79</v>
      </c>
      <c r="D9" s="29" t="s">
        <v>66</v>
      </c>
      <c r="E9" s="30" t="n">
        <v>38110000</v>
      </c>
      <c r="F9" s="31" t="n">
        <f aca="false">COUNTIFS(Comps!$A$3:$A$700,$A9,Comps!$C$3:$C$700,"Exit",Comps!$G$3:$G$700,"Y")</f>
        <v>6</v>
      </c>
      <c r="G9" s="32" t="n">
        <f aca="false" t="array" ref="G9:G9">IFERROR(MEDIAN(IF((Comps!$A$3:$A$700=$A9)*(Comps!$C$3:$C$700="Exit")*(Comps!$G$3:$G$700="Y"),Comps!$D$3:$D$700)),0)</f>
        <v>101400000</v>
      </c>
      <c r="H9" s="31" t="n">
        <f aca="false">COUNTIFS(Comps!$A$3:$A$700,$A9,Comps!$C$3:$C$700,"Private",Comps!$G$3:$G$700,"Y")</f>
        <v>0</v>
      </c>
      <c r="I9" s="32" t="n">
        <f aca="false">IFERROR(AVERAGEIFS(Comps!$D$3:$D$700,Comps!$A$3:$A$700,$A9,Comps!$C$3:$C$700,"Private",Comps!$G$3:$G$700,"Y"),0)</f>
        <v>0</v>
      </c>
      <c r="J9" s="33" t="n">
        <f aca="false">Assumptions!$B$7</f>
        <v>2.5</v>
      </c>
      <c r="K9" s="32" t="n">
        <f aca="false">I9*J9</f>
        <v>0</v>
      </c>
      <c r="L9" s="34" t="n">
        <f aca="false">IF(AND(G9&gt;0,K9&gt;0),(G9+K9)/2,MAX(G9,K9))</f>
        <v>101400000</v>
      </c>
      <c r="M9" s="35" t="n">
        <v>0.1034</v>
      </c>
      <c r="N9" s="36" t="n">
        <f aca="false">IFERROR(INDEX(Assumptions!$D$11:$D$19,MATCH(D9,Assumptions!$A$11:$A$19,0)),0)</f>
        <v>0.3</v>
      </c>
      <c r="O9" s="37"/>
      <c r="P9" s="36" t="n">
        <f aca="false">IFERROR(IF(ISBLANK(O9),N9,O9),0)</f>
        <v>0.3</v>
      </c>
      <c r="Q9" s="38" t="n">
        <f aca="false">IFERROR(Assumptions!$B$5+INDEX(Assumptions!$E$11:$E$19,MATCH(D9,Assumptions!$A$11:$A$19,0)),Assumptions!$B$5)</f>
        <v>2031</v>
      </c>
      <c r="R9" s="39"/>
      <c r="S9" s="31" t="n">
        <f aca="false">IF(ISBLANK(R9),Q9,R9)</f>
        <v>2031</v>
      </c>
      <c r="T9" s="40" t="n">
        <f aca="false">L9*M9</f>
        <v>10484760</v>
      </c>
      <c r="U9" s="41" t="n">
        <f aca="false">P9*L9*M9</f>
        <v>3145428</v>
      </c>
      <c r="V9" s="32" t="n">
        <f aca="false">P9*G9*M9</f>
        <v>3145428</v>
      </c>
      <c r="W9" s="32" t="n">
        <f aca="false">P9*K9*M9</f>
        <v>0</v>
      </c>
      <c r="X9" s="32" t="n">
        <f aca="false">IFERROR(U9/(1+Assumptions!$B$6)^(S9-Assumptions!$B$5),0)</f>
        <v>1563833.62415583</v>
      </c>
      <c r="Y9" s="30" t="n">
        <v>3051000</v>
      </c>
      <c r="Z9" s="42" t="n">
        <f aca="false">IF(Y9=0,"",U9/Y9)</f>
        <v>1.03094985250737</v>
      </c>
      <c r="AA9" s="43" t="n">
        <f aca="false">E9*Assumptions!$B$8*M9</f>
        <v>11821722</v>
      </c>
      <c r="AB9" s="44" t="s">
        <v>67</v>
      </c>
    </row>
    <row r="10" customFormat="false" ht="15" hidden="false" customHeight="true" outlineLevel="0" collapsed="false">
      <c r="A10" s="26" t="s">
        <v>80</v>
      </c>
      <c r="B10" s="27" t="s">
        <v>81</v>
      </c>
      <c r="C10" s="28" t="s">
        <v>56</v>
      </c>
      <c r="D10" s="29" t="s">
        <v>70</v>
      </c>
      <c r="E10" s="30" t="n">
        <v>17410000</v>
      </c>
      <c r="F10" s="31" t="n">
        <f aca="false">COUNTIFS(Comps!$A$3:$A$700,$A10,Comps!$C$3:$C$700,"Exit",Comps!$G$3:$G$700,"Y")</f>
        <v>4</v>
      </c>
      <c r="G10" s="32" t="n">
        <f aca="false" t="array" ref="G10:G10">IFERROR(MEDIAN(IF((Comps!$A$3:$A$700=$A10)*(Comps!$C$3:$C$700="Exit")*(Comps!$G$3:$G$700="Y"),Comps!$D$3:$D$700)),0)</f>
        <v>21725000</v>
      </c>
      <c r="H10" s="31" t="n">
        <f aca="false">COUNTIFS(Comps!$A$3:$A$700,$A10,Comps!$C$3:$C$700,"Private",Comps!$G$3:$G$700,"Y")</f>
        <v>2</v>
      </c>
      <c r="I10" s="32" t="n">
        <f aca="false">IFERROR(AVERAGEIFS(Comps!$D$3:$D$700,Comps!$A$3:$A$700,$A10,Comps!$C$3:$C$700,"Private",Comps!$G$3:$G$700,"Y"),0)</f>
        <v>20785000</v>
      </c>
      <c r="J10" s="33" t="n">
        <f aca="false">Assumptions!$B$7</f>
        <v>2.5</v>
      </c>
      <c r="K10" s="32" t="n">
        <f aca="false">I10*J10</f>
        <v>51962500</v>
      </c>
      <c r="L10" s="34" t="n">
        <f aca="false">IF(AND(G10&gt;0,K10&gt;0),(G10+K10)/2,MAX(G10,K10))</f>
        <v>36843750</v>
      </c>
      <c r="M10" s="35" t="n">
        <v>0.0277</v>
      </c>
      <c r="N10" s="36" t="n">
        <f aca="false">IFERROR(INDEX(Assumptions!$D$11:$D$19,MATCH(D10,Assumptions!$A$11:$A$19,0)),0)</f>
        <v>0.72</v>
      </c>
      <c r="O10" s="37" t="n">
        <v>0.39</v>
      </c>
      <c r="P10" s="36" t="n">
        <f aca="false">IFERROR(IF(ISBLANK(O10),N10,O10),0)</f>
        <v>0.39</v>
      </c>
      <c r="Q10" s="38" t="n">
        <f aca="false">IFERROR(Assumptions!$B$5+INDEX(Assumptions!$E$11:$E$19,MATCH(D10,Assumptions!$A$11:$A$19,0)),Assumptions!$B$5)</f>
        <v>2028</v>
      </c>
      <c r="R10" s="39"/>
      <c r="S10" s="31" t="n">
        <f aca="false">IF(ISBLANK(R10),Q10,R10)</f>
        <v>2028</v>
      </c>
      <c r="T10" s="40" t="n">
        <f aca="false">L10*M10</f>
        <v>1020571.875</v>
      </c>
      <c r="U10" s="41" t="n">
        <f aca="false">P10*L10*M10</f>
        <v>398023.03125</v>
      </c>
      <c r="V10" s="32" t="n">
        <f aca="false">P10*G10*M10</f>
        <v>234695.175</v>
      </c>
      <c r="W10" s="32" t="n">
        <f aca="false">P10*K10*M10</f>
        <v>561350.8875</v>
      </c>
      <c r="X10" s="32" t="n">
        <f aca="false">IFERROR(U10/(1+Assumptions!$B$6)^(S10-Assumptions!$B$5),0)</f>
        <v>300962.594517958</v>
      </c>
      <c r="Y10" s="30" t="n">
        <v>267000</v>
      </c>
      <c r="Z10" s="42" t="n">
        <f aca="false">IF(Y10=0,"",U10/Y10)</f>
        <v>1.49072296348315</v>
      </c>
      <c r="AA10" s="43" t="n">
        <f aca="false">E10*Assumptions!$B$8*M10</f>
        <v>1446771</v>
      </c>
      <c r="AB10" s="44" t="s">
        <v>82</v>
      </c>
    </row>
    <row r="11" customFormat="false" ht="15" hidden="false" customHeight="true" outlineLevel="0" collapsed="false">
      <c r="A11" s="26" t="s">
        <v>83</v>
      </c>
      <c r="B11" s="27" t="s">
        <v>84</v>
      </c>
      <c r="C11" s="28" t="s">
        <v>65</v>
      </c>
      <c r="D11" s="29" t="s">
        <v>66</v>
      </c>
      <c r="E11" s="30" t="n">
        <v>42870000</v>
      </c>
      <c r="F11" s="31" t="n">
        <f aca="false">COUNTIFS(Comps!$A$3:$A$700,$A11,Comps!$C$3:$C$700,"Exit",Comps!$G$3:$G$700,"Y")</f>
        <v>1</v>
      </c>
      <c r="G11" s="32" t="n">
        <f aca="false" t="array" ref="G11:G11">IFERROR(MEDIAN(IF((Comps!$A$3:$A$700=$A11)*(Comps!$C$3:$C$700="Exit")*(Comps!$G$3:$G$700="Y"),Comps!$D$3:$D$700)),0)</f>
        <v>44590000</v>
      </c>
      <c r="H11" s="31" t="n">
        <f aca="false">COUNTIFS(Comps!$A$3:$A$700,$A11,Comps!$C$3:$C$700,"Private",Comps!$G$3:$G$700,"Y")</f>
        <v>0</v>
      </c>
      <c r="I11" s="32" t="n">
        <f aca="false">IFERROR(AVERAGEIFS(Comps!$D$3:$D$700,Comps!$A$3:$A$700,$A11,Comps!$C$3:$C$700,"Private",Comps!$G$3:$G$700,"Y"),0)</f>
        <v>0</v>
      </c>
      <c r="J11" s="33" t="n">
        <f aca="false">Assumptions!$B$7</f>
        <v>2.5</v>
      </c>
      <c r="K11" s="32" t="n">
        <f aca="false">I11*J11</f>
        <v>0</v>
      </c>
      <c r="L11" s="34" t="n">
        <f aca="false">IF(AND(G11&gt;0,K11&gt;0),(G11+K11)/2,MAX(G11,K11))</f>
        <v>44590000</v>
      </c>
      <c r="M11" s="35" t="n">
        <v>0.0497</v>
      </c>
      <c r="N11" s="36" t="n">
        <f aca="false">IFERROR(INDEX(Assumptions!$D$11:$D$19,MATCH(D11,Assumptions!$A$11:$A$19,0)),0)</f>
        <v>0.3</v>
      </c>
      <c r="O11" s="37"/>
      <c r="P11" s="36" t="n">
        <f aca="false">IFERROR(IF(ISBLANK(O11),N11,O11),0)</f>
        <v>0.3</v>
      </c>
      <c r="Q11" s="38" t="n">
        <f aca="false">IFERROR(Assumptions!$B$5+INDEX(Assumptions!$E$11:$E$19,MATCH(D11,Assumptions!$A$11:$A$19,0)),Assumptions!$B$5)</f>
        <v>2031</v>
      </c>
      <c r="R11" s="39"/>
      <c r="S11" s="31" t="n">
        <f aca="false">IF(ISBLANK(R11),Q11,R11)</f>
        <v>2031</v>
      </c>
      <c r="T11" s="40" t="n">
        <f aca="false">L11*M11</f>
        <v>2216123</v>
      </c>
      <c r="U11" s="41" t="n">
        <f aca="false">P11*L11*M11</f>
        <v>664836.9</v>
      </c>
      <c r="V11" s="32" t="n">
        <f aca="false">P11*G11*M11</f>
        <v>664836.9</v>
      </c>
      <c r="W11" s="32" t="n">
        <f aca="false">P11*K11*M11</f>
        <v>0</v>
      </c>
      <c r="X11" s="32" t="n">
        <f aca="false">IFERROR(U11/(1+Assumptions!$B$6)^(S11-Assumptions!$B$5),0)</f>
        <v>330541.439447836</v>
      </c>
      <c r="Y11" s="30" t="n">
        <v>1772000</v>
      </c>
      <c r="Z11" s="42" t="n">
        <f aca="false">IF(Y11=0,"",U11/Y11)</f>
        <v>0.375190124153499</v>
      </c>
      <c r="AA11" s="43" t="n">
        <f aca="false">E11*Assumptions!$B$8*M11</f>
        <v>6391917</v>
      </c>
      <c r="AB11" s="45" t="s">
        <v>67</v>
      </c>
    </row>
    <row r="12" customFormat="false" ht="15" hidden="false" customHeight="true" outlineLevel="0" collapsed="false">
      <c r="A12" s="26" t="s">
        <v>85</v>
      </c>
      <c r="B12" s="27" t="s">
        <v>86</v>
      </c>
      <c r="C12" s="28" t="s">
        <v>65</v>
      </c>
      <c r="D12" s="29" t="s">
        <v>57</v>
      </c>
      <c r="E12" s="30" t="n">
        <v>16920000</v>
      </c>
      <c r="F12" s="31" t="n">
        <f aca="false">COUNTIFS(Comps!$A$3:$A$700,$A12,Comps!$C$3:$C$700,"Exit",Comps!$G$3:$G$700,"Y")</f>
        <v>7</v>
      </c>
      <c r="G12" s="32" t="n">
        <f aca="false" t="array" ref="G12:G12">IFERROR(MEDIAN(IF((Comps!$A$3:$A$700=$A12)*(Comps!$C$3:$C$700="Exit")*(Comps!$G$3:$G$700="Y"),Comps!$D$3:$D$700)),0)</f>
        <v>130310000</v>
      </c>
      <c r="H12" s="31" t="n">
        <f aca="false">COUNTIFS(Comps!$A$3:$A$700,$A12,Comps!$C$3:$C$700,"Private",Comps!$G$3:$G$700,"Y")</f>
        <v>1</v>
      </c>
      <c r="I12" s="32" t="n">
        <f aca="false">IFERROR(AVERAGEIFS(Comps!$D$3:$D$700,Comps!$A$3:$A$700,$A12,Comps!$C$3:$C$700,"Private",Comps!$G$3:$G$700,"Y"),0)</f>
        <v>19120000</v>
      </c>
      <c r="J12" s="33" t="n">
        <f aca="false">Assumptions!$B$7</f>
        <v>2.5</v>
      </c>
      <c r="K12" s="32" t="n">
        <f aca="false">I12*J12</f>
        <v>47800000</v>
      </c>
      <c r="L12" s="34" t="n">
        <f aca="false">IF(AND(G12&gt;0,K12&gt;0),(G12+K12)/2,MAX(G12,K12))</f>
        <v>89055000</v>
      </c>
      <c r="M12" s="35" t="n">
        <v>0.0424</v>
      </c>
      <c r="N12" s="36" t="n">
        <f aca="false">IFERROR(INDEX(Assumptions!$D$11:$D$19,MATCH(D12,Assumptions!$A$11:$A$19,0)),0)</f>
        <v>0.13</v>
      </c>
      <c r="O12" s="37" t="n">
        <v>0.29</v>
      </c>
      <c r="P12" s="36" t="n">
        <f aca="false">IFERROR(IF(ISBLANK(O12),N12,O12),0)</f>
        <v>0.29</v>
      </c>
      <c r="Q12" s="38" t="n">
        <f aca="false">IFERROR(Assumptions!$B$5+INDEX(Assumptions!$E$11:$E$19,MATCH(D12,Assumptions!$A$11:$A$19,0)),Assumptions!$B$5)</f>
        <v>2033</v>
      </c>
      <c r="R12" s="39"/>
      <c r="S12" s="31" t="n">
        <f aca="false">IF(ISBLANK(R12),Q12,R12)</f>
        <v>2033</v>
      </c>
      <c r="T12" s="40" t="n">
        <f aca="false">L12*M12</f>
        <v>3775932</v>
      </c>
      <c r="U12" s="41" t="n">
        <f aca="false">P12*L12*M12</f>
        <v>1095020.28</v>
      </c>
      <c r="V12" s="32" t="n">
        <f aca="false">P12*G12*M12</f>
        <v>1602291.76</v>
      </c>
      <c r="W12" s="32" t="n">
        <f aca="false">P12*K12*M12</f>
        <v>587748.8</v>
      </c>
      <c r="X12" s="32" t="n">
        <f aca="false">IFERROR(U12/(1+Assumptions!$B$6)^(S12-Assumptions!$B$5),0)</f>
        <v>411658.682718956</v>
      </c>
      <c r="Y12" s="30" t="n">
        <v>610000</v>
      </c>
      <c r="Z12" s="42" t="n">
        <f aca="false">IF(Y12=0,"",U12/Y12)</f>
        <v>1.79511521311475</v>
      </c>
      <c r="AA12" s="43" t="n">
        <f aca="false">E12*Assumptions!$B$8*M12</f>
        <v>2152224</v>
      </c>
      <c r="AB12" s="44" t="s">
        <v>87</v>
      </c>
    </row>
    <row r="13" customFormat="false" ht="15" hidden="false" customHeight="true" outlineLevel="0" collapsed="false">
      <c r="A13" s="26" t="s">
        <v>88</v>
      </c>
      <c r="B13" s="27" t="s">
        <v>89</v>
      </c>
      <c r="C13" s="28" t="s">
        <v>56</v>
      </c>
      <c r="D13" s="29" t="s">
        <v>70</v>
      </c>
      <c r="E13" s="30" t="n">
        <v>74430000</v>
      </c>
      <c r="F13" s="31" t="n">
        <f aca="false">COUNTIFS(Comps!$A$3:$A$700,$A13,Comps!$C$3:$C$700,"Exit",Comps!$G$3:$G$700,"Y")</f>
        <v>2</v>
      </c>
      <c r="G13" s="32" t="n">
        <f aca="false" t="array" ref="G13:G13">IFERROR(MEDIAN(IF((Comps!$A$3:$A$700=$A13)*(Comps!$C$3:$C$700="Exit")*(Comps!$G$3:$G$700="Y"),Comps!$D$3:$D$700)),0)</f>
        <v>145940000</v>
      </c>
      <c r="H13" s="31" t="n">
        <f aca="false">COUNTIFS(Comps!$A$3:$A$700,$A13,Comps!$C$3:$C$700,"Private",Comps!$G$3:$G$700,"Y")</f>
        <v>4</v>
      </c>
      <c r="I13" s="32" t="n">
        <f aca="false">IFERROR(AVERAGEIFS(Comps!$D$3:$D$700,Comps!$A$3:$A$700,$A13,Comps!$C$3:$C$700,"Private",Comps!$G$3:$G$700,"Y"),0)</f>
        <v>87067500</v>
      </c>
      <c r="J13" s="33" t="n">
        <f aca="false">Assumptions!$B$7</f>
        <v>2.5</v>
      </c>
      <c r="K13" s="32" t="n">
        <f aca="false">I13*J13</f>
        <v>217668750</v>
      </c>
      <c r="L13" s="34" t="n">
        <f aca="false">IF(AND(G13&gt;0,K13&gt;0),(G13+K13)/2,MAX(G13,K13))</f>
        <v>181804375</v>
      </c>
      <c r="M13" s="35" t="n">
        <v>0.0555</v>
      </c>
      <c r="N13" s="36" t="n">
        <f aca="false">IFERROR(INDEX(Assumptions!$D$11:$D$19,MATCH(D13,Assumptions!$A$11:$A$19,0)),0)</f>
        <v>0.72</v>
      </c>
      <c r="O13" s="37" t="n">
        <v>0.29</v>
      </c>
      <c r="P13" s="36" t="n">
        <f aca="false">IFERROR(IF(ISBLANK(O13),N13,O13),0)</f>
        <v>0.29</v>
      </c>
      <c r="Q13" s="38" t="n">
        <f aca="false">IFERROR(Assumptions!$B$5+INDEX(Assumptions!$E$11:$E$19,MATCH(D13,Assumptions!$A$11:$A$19,0)),Assumptions!$B$5)</f>
        <v>2028</v>
      </c>
      <c r="R13" s="39"/>
      <c r="S13" s="31" t="n">
        <f aca="false">IF(ISBLANK(R13),Q13,R13)</f>
        <v>2028</v>
      </c>
      <c r="T13" s="40" t="n">
        <f aca="false">L13*M13</f>
        <v>10090142.8125</v>
      </c>
      <c r="U13" s="41" t="n">
        <f aca="false">P13*L13*M13</f>
        <v>2926141.415625</v>
      </c>
      <c r="V13" s="32" t="n">
        <f aca="false">P13*G13*M13</f>
        <v>2348904.3</v>
      </c>
      <c r="W13" s="32" t="n">
        <f aca="false">P13*K13*M13</f>
        <v>3503378.53125</v>
      </c>
      <c r="X13" s="32" t="n">
        <f aca="false">IFERROR(U13/(1+Assumptions!$B$6)^(S13-Assumptions!$B$5),0)</f>
        <v>2212583.3010397</v>
      </c>
      <c r="Y13" s="30" t="n">
        <v>3144000</v>
      </c>
      <c r="Z13" s="42" t="n">
        <f aca="false">IF(Y13=0,"",U13/Y13)</f>
        <v>0.930706557132634</v>
      </c>
      <c r="AA13" s="43" t="n">
        <f aca="false">E13*Assumptions!$B$8*M13</f>
        <v>12392595</v>
      </c>
      <c r="AB13" s="45" t="s">
        <v>90</v>
      </c>
    </row>
    <row r="14" customFormat="false" ht="28.5" hidden="false" customHeight="true" outlineLevel="0" collapsed="false">
      <c r="A14" s="26" t="s">
        <v>91</v>
      </c>
      <c r="B14" s="27" t="s">
        <v>92</v>
      </c>
      <c r="C14" s="28" t="s">
        <v>56</v>
      </c>
      <c r="D14" s="29" t="s">
        <v>66</v>
      </c>
      <c r="E14" s="30" t="n">
        <v>51790000</v>
      </c>
      <c r="F14" s="31" t="n">
        <f aca="false">COUNTIFS(Comps!$A$3:$A$700,$A14,Comps!$C$3:$C$700,"Exit",Comps!$G$3:$G$700,"Y")</f>
        <v>8</v>
      </c>
      <c r="G14" s="32" t="n">
        <f aca="false" t="array" ref="G14:G14">IFERROR(MEDIAN(IF((Comps!$A$3:$A$700=$A14)*(Comps!$C$3:$C$700="Exit")*(Comps!$G$3:$G$700="Y"),Comps!$D$3:$D$700)),0)</f>
        <v>109045000</v>
      </c>
      <c r="H14" s="31" t="n">
        <f aca="false">COUNTIFS(Comps!$A$3:$A$700,$A14,Comps!$C$3:$C$700,"Private",Comps!$G$3:$G$700,"Y")</f>
        <v>2</v>
      </c>
      <c r="I14" s="32" t="n">
        <f aca="false">IFERROR(AVERAGEIFS(Comps!$D$3:$D$700,Comps!$A$3:$A$700,$A14,Comps!$C$3:$C$700,"Private",Comps!$G$3:$G$700,"Y"),0)</f>
        <v>46105000</v>
      </c>
      <c r="J14" s="33" t="n">
        <f aca="false">Assumptions!$B$7</f>
        <v>2.5</v>
      </c>
      <c r="K14" s="32" t="n">
        <f aca="false">I14*J14</f>
        <v>115262500</v>
      </c>
      <c r="L14" s="34" t="n">
        <f aca="false">IF(AND(G14&gt;0,K14&gt;0),(G14+K14)/2,MAX(G14,K14))</f>
        <v>112153750</v>
      </c>
      <c r="M14" s="35" t="n">
        <v>0.0819</v>
      </c>
      <c r="N14" s="36" t="n">
        <f aca="false">IFERROR(INDEX(Assumptions!$D$11:$D$19,MATCH(D14,Assumptions!$A$11:$A$19,0)),0)</f>
        <v>0.3</v>
      </c>
      <c r="O14" s="37"/>
      <c r="P14" s="36" t="n">
        <f aca="false">IFERROR(IF(ISBLANK(O14),N14,O14),0)</f>
        <v>0.3</v>
      </c>
      <c r="Q14" s="38" t="n">
        <f aca="false">IFERROR(Assumptions!$B$5+INDEX(Assumptions!$E$11:$E$19,MATCH(D14,Assumptions!$A$11:$A$19,0)),Assumptions!$B$5)</f>
        <v>2031</v>
      </c>
      <c r="R14" s="39"/>
      <c r="S14" s="31" t="n">
        <f aca="false">IF(ISBLANK(R14),Q14,R14)</f>
        <v>2031</v>
      </c>
      <c r="T14" s="40" t="n">
        <f aca="false">L14*M14</f>
        <v>9185392.125</v>
      </c>
      <c r="U14" s="41" t="n">
        <f aca="false">P14*L14*M14</f>
        <v>2755617.6375</v>
      </c>
      <c r="V14" s="32" t="n">
        <f aca="false">P14*G14*M14</f>
        <v>2679235.65</v>
      </c>
      <c r="W14" s="32" t="n">
        <f aca="false">P14*K14*M14</f>
        <v>2831999.625</v>
      </c>
      <c r="X14" s="32" t="n">
        <f aca="false">IFERROR(U14/(1+Assumptions!$B$6)^(S14-Assumptions!$B$5),0)</f>
        <v>1370028.98074264</v>
      </c>
      <c r="Y14" s="30" t="n">
        <v>1874000</v>
      </c>
      <c r="Z14" s="42" t="n">
        <f aca="false">IF(Y14=0,"",U14/Y14)</f>
        <v>1.47044697838847</v>
      </c>
      <c r="AA14" s="43" t="n">
        <f aca="false">E14*Assumptions!$B$8*M14</f>
        <v>12724803</v>
      </c>
      <c r="AB14" s="45" t="s">
        <v>67</v>
      </c>
    </row>
    <row r="15" customFormat="false" ht="15" hidden="false" customHeight="true" outlineLevel="0" collapsed="false">
      <c r="A15" s="26" t="s">
        <v>93</v>
      </c>
      <c r="B15" s="27" t="s">
        <v>94</v>
      </c>
      <c r="C15" s="28" t="s">
        <v>65</v>
      </c>
      <c r="D15" s="29" t="s">
        <v>57</v>
      </c>
      <c r="E15" s="30" t="n">
        <v>27080000</v>
      </c>
      <c r="F15" s="31" t="n">
        <f aca="false">COUNTIFS(Comps!$A$3:$A$700,$A15,Comps!$C$3:$C$700,"Exit",Comps!$G$3:$G$700,"Y")</f>
        <v>3</v>
      </c>
      <c r="G15" s="32" t="n">
        <f aca="false" t="array" ref="G15:G15">IFERROR(MEDIAN(IF((Comps!$A$3:$A$700=$A15)*(Comps!$C$3:$C$700="Exit")*(Comps!$G$3:$G$700="Y"),Comps!$D$3:$D$700)),0)</f>
        <v>105990000</v>
      </c>
      <c r="H15" s="31" t="n">
        <f aca="false">COUNTIFS(Comps!$A$3:$A$700,$A15,Comps!$C$3:$C$700,"Private",Comps!$G$3:$G$700,"Y")</f>
        <v>1</v>
      </c>
      <c r="I15" s="32" t="n">
        <f aca="false">IFERROR(AVERAGEIFS(Comps!$D$3:$D$700,Comps!$A$3:$A$700,$A15,Comps!$C$3:$C$700,"Private",Comps!$G$3:$G$700,"Y"),0)</f>
        <v>44500000</v>
      </c>
      <c r="J15" s="33" t="n">
        <f aca="false">Assumptions!$B$7</f>
        <v>2.5</v>
      </c>
      <c r="K15" s="32" t="n">
        <f aca="false">I15*J15</f>
        <v>111250000</v>
      </c>
      <c r="L15" s="34" t="n">
        <f aca="false">IF(AND(G15&gt;0,K15&gt;0),(G15+K15)/2,MAX(G15,K15))</f>
        <v>108620000</v>
      </c>
      <c r="M15" s="35" t="n">
        <v>0.0609</v>
      </c>
      <c r="N15" s="36" t="n">
        <f aca="false">IFERROR(INDEX(Assumptions!$D$11:$D$19,MATCH(D15,Assumptions!$A$11:$A$19,0)),0)</f>
        <v>0.13</v>
      </c>
      <c r="O15" s="37"/>
      <c r="P15" s="36" t="n">
        <f aca="false">IFERROR(IF(ISBLANK(O15),N15,O15),0)</f>
        <v>0.13</v>
      </c>
      <c r="Q15" s="38" t="n">
        <f aca="false">IFERROR(Assumptions!$B$5+INDEX(Assumptions!$E$11:$E$19,MATCH(D15,Assumptions!$A$11:$A$19,0)),Assumptions!$B$5)</f>
        <v>2033</v>
      </c>
      <c r="R15" s="39"/>
      <c r="S15" s="31" t="n">
        <f aca="false">IF(ISBLANK(R15),Q15,R15)</f>
        <v>2033</v>
      </c>
      <c r="T15" s="40" t="n">
        <f aca="false">L15*M15</f>
        <v>6614958</v>
      </c>
      <c r="U15" s="41" t="n">
        <f aca="false">P15*L15*M15</f>
        <v>859944.54</v>
      </c>
      <c r="V15" s="32" t="n">
        <f aca="false">P15*G15*M15</f>
        <v>839122.83</v>
      </c>
      <c r="W15" s="32" t="n">
        <f aca="false">P15*K15*M15</f>
        <v>880766.25</v>
      </c>
      <c r="X15" s="32" t="n">
        <f aca="false">IFERROR(U15/(1+Assumptions!$B$6)^(S15-Assumptions!$B$5),0)</f>
        <v>323285.004865626</v>
      </c>
      <c r="Y15" s="30" t="n">
        <v>1156000</v>
      </c>
      <c r="Z15" s="42" t="n">
        <f aca="false">IF(Y15=0,"",U15/Y15)</f>
        <v>0.743896660899654</v>
      </c>
      <c r="AA15" s="43" t="n">
        <f aca="false">E15*Assumptions!$B$8*M15</f>
        <v>4947516</v>
      </c>
      <c r="AB15" s="45" t="s">
        <v>58</v>
      </c>
    </row>
    <row r="16" customFormat="false" ht="15" hidden="false" customHeight="true" outlineLevel="0" collapsed="false">
      <c r="A16" s="26" t="s">
        <v>95</v>
      </c>
      <c r="B16" s="27" t="s">
        <v>96</v>
      </c>
      <c r="C16" s="28" t="s">
        <v>79</v>
      </c>
      <c r="D16" s="29" t="s">
        <v>70</v>
      </c>
      <c r="E16" s="30" t="n">
        <v>17580000</v>
      </c>
      <c r="F16" s="31" t="n">
        <f aca="false">COUNTIFS(Comps!$A$3:$A$700,$A16,Comps!$C$3:$C$700,"Exit",Comps!$G$3:$G$700,"Y")</f>
        <v>5</v>
      </c>
      <c r="G16" s="32" t="n">
        <f aca="false" t="array" ref="G16:G16">IFERROR(MEDIAN(IF((Comps!$A$3:$A$700=$A16)*(Comps!$C$3:$C$700="Exit")*(Comps!$G$3:$G$700="Y"),Comps!$D$3:$D$700)),0)</f>
        <v>39550000</v>
      </c>
      <c r="H16" s="31" t="n">
        <f aca="false">COUNTIFS(Comps!$A$3:$A$700,$A16,Comps!$C$3:$C$700,"Private",Comps!$G$3:$G$700,"Y")</f>
        <v>1</v>
      </c>
      <c r="I16" s="32" t="n">
        <f aca="false">IFERROR(AVERAGEIFS(Comps!$D$3:$D$700,Comps!$A$3:$A$700,$A16,Comps!$C$3:$C$700,"Private",Comps!$G$3:$G$700,"Y"),0)</f>
        <v>25020000</v>
      </c>
      <c r="J16" s="33" t="n">
        <f aca="false">Assumptions!$B$7</f>
        <v>2.5</v>
      </c>
      <c r="K16" s="32" t="n">
        <f aca="false">I16*J16</f>
        <v>62550000</v>
      </c>
      <c r="L16" s="34" t="n">
        <f aca="false">IF(AND(G16&gt;0,K16&gt;0),(G16+K16)/2,MAX(G16,K16))</f>
        <v>51050000</v>
      </c>
      <c r="M16" s="35" t="n">
        <v>0.0276</v>
      </c>
      <c r="N16" s="36" t="n">
        <f aca="false">IFERROR(INDEX(Assumptions!$D$11:$D$19,MATCH(D16,Assumptions!$A$11:$A$19,0)),0)</f>
        <v>0.72</v>
      </c>
      <c r="O16" s="37"/>
      <c r="P16" s="36" t="n">
        <f aca="false">IFERROR(IF(ISBLANK(O16),N16,O16),0)</f>
        <v>0.72</v>
      </c>
      <c r="Q16" s="38" t="n">
        <f aca="false">IFERROR(Assumptions!$B$5+INDEX(Assumptions!$E$11:$E$19,MATCH(D16,Assumptions!$A$11:$A$19,0)),Assumptions!$B$5)</f>
        <v>2028</v>
      </c>
      <c r="R16" s="39"/>
      <c r="S16" s="31" t="n">
        <f aca="false">IF(ISBLANK(R16),Q16,R16)</f>
        <v>2028</v>
      </c>
      <c r="T16" s="40" t="n">
        <f aca="false">L16*M16</f>
        <v>1408980</v>
      </c>
      <c r="U16" s="41" t="n">
        <f aca="false">P16*L16*M16</f>
        <v>1014465.6</v>
      </c>
      <c r="V16" s="32" t="n">
        <f aca="false">P16*G16*M16</f>
        <v>785937.6</v>
      </c>
      <c r="W16" s="32" t="n">
        <f aca="false">P16*K16*M16</f>
        <v>1242993.6</v>
      </c>
      <c r="X16" s="32" t="n">
        <f aca="false">IFERROR(U16/(1+Assumptions!$B$6)^(S16-Assumptions!$B$5),0)</f>
        <v>767081.739130435</v>
      </c>
      <c r="Y16" s="30" t="n">
        <v>171000</v>
      </c>
      <c r="Z16" s="42" t="n">
        <f aca="false">IF(Y16=0,"",U16/Y16)</f>
        <v>5.93254736842105</v>
      </c>
      <c r="AA16" s="43" t="n">
        <f aca="false">E16*Assumptions!$B$8*M16</f>
        <v>1455624</v>
      </c>
      <c r="AB16" s="45" t="s">
        <v>71</v>
      </c>
    </row>
    <row r="17" customFormat="false" ht="15" hidden="false" customHeight="true" outlineLevel="0" collapsed="false">
      <c r="A17" s="26" t="s">
        <v>97</v>
      </c>
      <c r="B17" s="27" t="s">
        <v>98</v>
      </c>
      <c r="C17" s="28" t="s">
        <v>56</v>
      </c>
      <c r="D17" s="29" t="s">
        <v>70</v>
      </c>
      <c r="E17" s="30" t="n">
        <v>23310000</v>
      </c>
      <c r="F17" s="31" t="n">
        <f aca="false">COUNTIFS(Comps!$A$3:$A$700,$A17,Comps!$C$3:$C$700,"Exit",Comps!$G$3:$G$700,"Y")</f>
        <v>2</v>
      </c>
      <c r="G17" s="32" t="n">
        <f aca="false" t="array" ref="G17:G17">IFERROR(MEDIAN(IF((Comps!$A$3:$A$700=$A17)*(Comps!$C$3:$C$700="Exit")*(Comps!$G$3:$G$700="Y"),Comps!$D$3:$D$700)),0)</f>
        <v>21290000</v>
      </c>
      <c r="H17" s="31" t="n">
        <f aca="false">COUNTIFS(Comps!$A$3:$A$700,$A17,Comps!$C$3:$C$700,"Private",Comps!$G$3:$G$700,"Y")</f>
        <v>0</v>
      </c>
      <c r="I17" s="32" t="n">
        <f aca="false">IFERROR(AVERAGEIFS(Comps!$D$3:$D$700,Comps!$A$3:$A$700,$A17,Comps!$C$3:$C$700,"Private",Comps!$G$3:$G$700,"Y"),0)</f>
        <v>0</v>
      </c>
      <c r="J17" s="33" t="n">
        <f aca="false">Assumptions!$B$7</f>
        <v>2.5</v>
      </c>
      <c r="K17" s="32" t="n">
        <f aca="false">I17*J17</f>
        <v>0</v>
      </c>
      <c r="L17" s="34" t="n">
        <f aca="false">IF(AND(G17&gt;0,K17&gt;0),(G17+K17)/2,MAX(G17,K17))</f>
        <v>21290000</v>
      </c>
      <c r="M17" s="35" t="n">
        <v>0.0783</v>
      </c>
      <c r="N17" s="36" t="n">
        <f aca="false">IFERROR(INDEX(Assumptions!$D$11:$D$19,MATCH(D17,Assumptions!$A$11:$A$19,0)),0)</f>
        <v>0.72</v>
      </c>
      <c r="O17" s="37" t="n">
        <v>0.53</v>
      </c>
      <c r="P17" s="36" t="n">
        <f aca="false">IFERROR(IF(ISBLANK(O17),N17,O17),0)</f>
        <v>0.53</v>
      </c>
      <c r="Q17" s="38" t="n">
        <f aca="false">IFERROR(Assumptions!$B$5+INDEX(Assumptions!$E$11:$E$19,MATCH(D17,Assumptions!$A$11:$A$19,0)),Assumptions!$B$5)</f>
        <v>2028</v>
      </c>
      <c r="R17" s="39"/>
      <c r="S17" s="31" t="n">
        <f aca="false">IF(ISBLANK(R17),Q17,R17)</f>
        <v>2028</v>
      </c>
      <c r="T17" s="40" t="n">
        <f aca="false">L17*M17</f>
        <v>1667007</v>
      </c>
      <c r="U17" s="41" t="n">
        <f aca="false">P17*L17*M17</f>
        <v>883513.71</v>
      </c>
      <c r="V17" s="32" t="n">
        <f aca="false">P17*G17*M17</f>
        <v>883513.71</v>
      </c>
      <c r="W17" s="32" t="n">
        <f aca="false">P17*K17*M17</f>
        <v>0</v>
      </c>
      <c r="X17" s="32" t="n">
        <f aca="false">IFERROR(U17/(1+Assumptions!$B$6)^(S17-Assumptions!$B$5),0)</f>
        <v>668063.29678639</v>
      </c>
      <c r="Y17" s="30" t="n">
        <v>971000</v>
      </c>
      <c r="Z17" s="42" t="n">
        <f aca="false">IF(Y17=0,"",U17/Y17)</f>
        <v>0.909900834191555</v>
      </c>
      <c r="AA17" s="43" t="n">
        <f aca="false">E17*Assumptions!$B$8*M17</f>
        <v>5475519</v>
      </c>
      <c r="AB17" s="45" t="s">
        <v>99</v>
      </c>
    </row>
    <row r="18" customFormat="false" ht="15" hidden="false" customHeight="true" outlineLevel="0" collapsed="false">
      <c r="A18" s="26" t="s">
        <v>100</v>
      </c>
      <c r="B18" s="27" t="s">
        <v>101</v>
      </c>
      <c r="C18" s="28" t="s">
        <v>56</v>
      </c>
      <c r="D18" s="29" t="s">
        <v>70</v>
      </c>
      <c r="E18" s="30" t="n">
        <v>17000000</v>
      </c>
      <c r="F18" s="31" t="n">
        <f aca="false">COUNTIFS(Comps!$A$3:$A$700,$A18,Comps!$C$3:$C$700,"Exit",Comps!$G$3:$G$700,"Y")</f>
        <v>2</v>
      </c>
      <c r="G18" s="32" t="n">
        <f aca="false" t="array" ref="G18:G18">IFERROR(MEDIAN(IF((Comps!$A$3:$A$700=$A18)*(Comps!$C$3:$C$700="Exit")*(Comps!$G$3:$G$700="Y"),Comps!$D$3:$D$700)),0)</f>
        <v>48485000</v>
      </c>
      <c r="H18" s="31" t="n">
        <f aca="false">COUNTIFS(Comps!$A$3:$A$700,$A18,Comps!$C$3:$C$700,"Private",Comps!$G$3:$G$700,"Y")</f>
        <v>2</v>
      </c>
      <c r="I18" s="32" t="n">
        <f aca="false">IFERROR(AVERAGEIFS(Comps!$D$3:$D$700,Comps!$A$3:$A$700,$A18,Comps!$C$3:$C$700,"Private",Comps!$G$3:$G$700,"Y"),0)</f>
        <v>17180000</v>
      </c>
      <c r="J18" s="33" t="n">
        <v>1</v>
      </c>
      <c r="K18" s="32" t="n">
        <f aca="false">I18*J18</f>
        <v>17180000</v>
      </c>
      <c r="L18" s="34" t="n">
        <f aca="false">IF(AND(G18&gt;0,K18&gt;0),(G18+K18)/2,MAX(G18,K18))</f>
        <v>32832500</v>
      </c>
      <c r="M18" s="35" t="n">
        <v>0.0379</v>
      </c>
      <c r="N18" s="36" t="n">
        <f aca="false">IFERROR(INDEX(Assumptions!$D$11:$D$19,MATCH(D18,Assumptions!$A$11:$A$19,0)),0)</f>
        <v>0.72</v>
      </c>
      <c r="O18" s="37" t="n">
        <v>0.38</v>
      </c>
      <c r="P18" s="36" t="n">
        <f aca="false">IFERROR(IF(ISBLANK(O18),N18,O18),0)</f>
        <v>0.38</v>
      </c>
      <c r="Q18" s="38" t="n">
        <f aca="false">IFERROR(Assumptions!$B$5+INDEX(Assumptions!$E$11:$E$19,MATCH(D18,Assumptions!$A$11:$A$19,0)),Assumptions!$B$5)</f>
        <v>2028</v>
      </c>
      <c r="R18" s="39"/>
      <c r="S18" s="31" t="n">
        <f aca="false">IF(ISBLANK(R18),Q18,R18)</f>
        <v>2028</v>
      </c>
      <c r="T18" s="40" t="n">
        <f aca="false">L18*M18</f>
        <v>1244351.75</v>
      </c>
      <c r="U18" s="41" t="n">
        <f aca="false">P18*L18*M18</f>
        <v>472853.665</v>
      </c>
      <c r="V18" s="32" t="n">
        <f aca="false">P18*G18*M18</f>
        <v>698280.97</v>
      </c>
      <c r="W18" s="32" t="n">
        <f aca="false">P18*K18*M18</f>
        <v>247426.36</v>
      </c>
      <c r="X18" s="32" t="n">
        <f aca="false">IFERROR(U18/(1+Assumptions!$B$6)^(S18-Assumptions!$B$5),0)</f>
        <v>357545.304347826</v>
      </c>
      <c r="Y18" s="30" t="n">
        <v>539000</v>
      </c>
      <c r="Z18" s="42" t="n">
        <f aca="false">IF(Y18=0,"",U18/Y18)</f>
        <v>0.87727952690167</v>
      </c>
      <c r="AA18" s="43" t="n">
        <f aca="false">E18*Assumptions!$B$8*M18</f>
        <v>1932900</v>
      </c>
      <c r="AB18" s="45" t="s">
        <v>102</v>
      </c>
    </row>
    <row r="19" customFormat="false" ht="15" hidden="false" customHeight="true" outlineLevel="0" collapsed="false">
      <c r="A19" s="26" t="s">
        <v>103</v>
      </c>
      <c r="B19" s="27" t="s">
        <v>104</v>
      </c>
      <c r="C19" s="28" t="s">
        <v>79</v>
      </c>
      <c r="D19" s="29" t="s">
        <v>105</v>
      </c>
      <c r="E19" s="46" t="n">
        <v>6480000</v>
      </c>
      <c r="F19" s="46" t="n">
        <f aca="false">COUNTIFS(Comps!$A$3:$A$700,$A19,Comps!$C$3:$C$700,"Exit",Comps!$G$3:$G$700,"Y")</f>
        <v>4</v>
      </c>
      <c r="G19" s="46" t="n">
        <f aca="false" t="array" ref="G19:G19">IFERROR(MEDIAN(IF((Comps!$A$3:$A$700=$A19)*(Comps!$C$3:$C$700="Exit")*(Comps!$G$3:$G$700="Y"),Comps!$D$3:$D$700)),0)</f>
        <v>19985000</v>
      </c>
      <c r="H19" s="46" t="n">
        <f aca="false">COUNTIFS(Comps!$A$3:$A$700,$A19,Comps!$C$3:$C$700,"Private",Comps!$G$3:$G$700,"Y")</f>
        <v>1</v>
      </c>
      <c r="I19" s="46" t="n">
        <f aca="false">IFERROR(AVERAGEIFS(Comps!$D$3:$D$700,Comps!$A$3:$A$700,$A19,Comps!$C$3:$C$700,"Private",Comps!$G$3:$G$700,"Y"),0)</f>
        <v>7280000</v>
      </c>
      <c r="J19" s="46" t="n">
        <f aca="false">Assumptions!$B$7</f>
        <v>2.5</v>
      </c>
      <c r="K19" s="47" t="n">
        <f aca="false">I19*J19</f>
        <v>18200000</v>
      </c>
      <c r="L19" s="46" t="n">
        <f aca="false">IF(AND(G19&gt;0,K19&gt;0),(G19+K19)/2,MAX(G19,K19))</f>
        <v>19092500</v>
      </c>
      <c r="M19" s="46" t="n">
        <v>0.0748</v>
      </c>
      <c r="N19" s="46" t="n">
        <f aca="false">IFERROR(INDEX(Assumptions!$D$11:$D$19,MATCH(D19,Assumptions!$A$11:$A$19,0)),0)</f>
        <v>0.08</v>
      </c>
      <c r="O19" s="46" t="n">
        <v>0.58</v>
      </c>
      <c r="P19" s="48" t="n">
        <f aca="false">IFERROR(IF(ISBLANK(O19),N19,O19),0)</f>
        <v>0.58</v>
      </c>
      <c r="Q19" s="46" t="n">
        <f aca="false">IFERROR(Assumptions!$B$5+INDEX(Assumptions!$E$11:$E$19,MATCH(D19,Assumptions!$A$11:$A$19,0)),Assumptions!$B$5)</f>
        <v>2035</v>
      </c>
      <c r="R19" s="46"/>
      <c r="S19" s="46" t="n">
        <f aca="false">IF(ISBLANK(R19),Q19,R19)</f>
        <v>2035</v>
      </c>
      <c r="T19" s="46" t="n">
        <f aca="false">L19*M19</f>
        <v>1428119</v>
      </c>
      <c r="U19" s="46" t="n">
        <f aca="false">P19*L19*M19</f>
        <v>828309.02</v>
      </c>
      <c r="V19" s="46" t="n">
        <f aca="false">P19*G19*M19</f>
        <v>867029.24</v>
      </c>
      <c r="W19" s="46" t="n">
        <f aca="false">P19*K19*M19</f>
        <v>789588.8</v>
      </c>
      <c r="X19" s="46" t="n">
        <f aca="false">IFERROR(U19/(1+Assumptions!$B$6)^(S19-Assumptions!$B$5),0)</f>
        <v>235457.119939809</v>
      </c>
      <c r="Y19" s="30" t="n">
        <v>251000</v>
      </c>
      <c r="Z19" s="42" t="n">
        <f aca="false">IF(Y19=0,"",U19/Y19)</f>
        <v>3.30003593625498</v>
      </c>
      <c r="AA19" s="43" t="n">
        <f aca="false">E19*Assumptions!$B$8*M19</f>
        <v>1454112</v>
      </c>
      <c r="AB19" s="45" t="s">
        <v>106</v>
      </c>
    </row>
    <row r="20" customFormat="false" ht="15" hidden="false" customHeight="true" outlineLevel="0" collapsed="false">
      <c r="A20" s="26" t="s">
        <v>107</v>
      </c>
      <c r="B20" s="27" t="s">
        <v>108</v>
      </c>
      <c r="C20" s="28" t="s">
        <v>56</v>
      </c>
      <c r="D20" s="29" t="s">
        <v>70</v>
      </c>
      <c r="E20" s="30" t="n">
        <v>58820000</v>
      </c>
      <c r="F20" s="31" t="n">
        <f aca="false">COUNTIFS(Comps!$A$3:$A$700,$A20,Comps!$C$3:$C$700,"Exit",Comps!$G$3:$G$700,"Y")</f>
        <v>6</v>
      </c>
      <c r="G20" s="32" t="n">
        <f aca="false" t="array" ref="G20:G20">IFERROR(MEDIAN(IF((Comps!$A$3:$A$700=$A20)*(Comps!$C$3:$C$700="Exit")*(Comps!$G$3:$G$700="Y"),Comps!$D$3:$D$700)),0)</f>
        <v>94090000</v>
      </c>
      <c r="H20" s="31" t="n">
        <f aca="false">COUNTIFS(Comps!$A$3:$A$700,$A20,Comps!$C$3:$C$700,"Private",Comps!$G$3:$G$700,"Y")</f>
        <v>3</v>
      </c>
      <c r="I20" s="32" t="n">
        <f aca="false">IFERROR(AVERAGEIFS(Comps!$D$3:$D$700,Comps!$A$3:$A$700,$A20,Comps!$C$3:$C$700,"Private",Comps!$G$3:$G$700,"Y"),0)</f>
        <v>30966666.6666667</v>
      </c>
      <c r="J20" s="33" t="n">
        <v>1</v>
      </c>
      <c r="K20" s="32" t="n">
        <f aca="false">I20*J20</f>
        <v>30966666.6666667</v>
      </c>
      <c r="L20" s="34" t="n">
        <f aca="false">IF(AND(G20&gt;0,K20&gt;0),(G20+K20)/2,MAX(G20,K20))</f>
        <v>62528333.3333333</v>
      </c>
      <c r="M20" s="35" t="n">
        <v>0.0509</v>
      </c>
      <c r="N20" s="36" t="n">
        <f aca="false">IFERROR(INDEX(Assumptions!$D$11:$D$19,MATCH(D20,Assumptions!$A$11:$A$19,0)),0)</f>
        <v>0.72</v>
      </c>
      <c r="O20" s="37"/>
      <c r="P20" s="36" t="n">
        <f aca="false">IFERROR(IF(ISBLANK(O20),N20,O20),0)</f>
        <v>0.72</v>
      </c>
      <c r="Q20" s="38" t="n">
        <f aca="false">IFERROR(Assumptions!$B$5+INDEX(Assumptions!$E$11:$E$19,MATCH(D20,Assumptions!$A$11:$A$19,0)),Assumptions!$B$5)</f>
        <v>2028</v>
      </c>
      <c r="R20" s="39"/>
      <c r="S20" s="31" t="n">
        <f aca="false">IF(ISBLANK(R20),Q20,R20)</f>
        <v>2028</v>
      </c>
      <c r="T20" s="40" t="n">
        <f aca="false">L20*M20</f>
        <v>3182692.16666667</v>
      </c>
      <c r="U20" s="41" t="n">
        <f aca="false">P20*L20*M20</f>
        <v>2291538.36</v>
      </c>
      <c r="V20" s="32" t="n">
        <f aca="false">P20*G20*M20</f>
        <v>3448210.32</v>
      </c>
      <c r="W20" s="32" t="n">
        <f aca="false">P20*K20*M20</f>
        <v>1134866.4</v>
      </c>
      <c r="X20" s="32" t="n">
        <f aca="false">IFERROR(U20/(1+Assumptions!$B$6)^(S20-Assumptions!$B$5),0)</f>
        <v>1732732.21928166</v>
      </c>
      <c r="Y20" s="30" t="n">
        <v>2443000</v>
      </c>
      <c r="Z20" s="42" t="n">
        <f aca="false">IF(Y20=0,"",U20/Y20)</f>
        <v>0.938001784690954</v>
      </c>
      <c r="AA20" s="43" t="n">
        <f aca="false">E20*Assumptions!$B$8*M20</f>
        <v>8981814</v>
      </c>
      <c r="AB20" s="45" t="s">
        <v>74</v>
      </c>
    </row>
    <row r="21" customFormat="false" ht="15" hidden="false" customHeight="true" outlineLevel="0" collapsed="false">
      <c r="A21" s="26" t="s">
        <v>109</v>
      </c>
      <c r="B21" s="27" t="s">
        <v>110</v>
      </c>
      <c r="C21" s="28" t="s">
        <v>79</v>
      </c>
      <c r="D21" s="29" t="s">
        <v>70</v>
      </c>
      <c r="E21" s="30" t="n">
        <v>133030000</v>
      </c>
      <c r="F21" s="31" t="n">
        <f aca="false">COUNTIFS(Comps!$A$3:$A$700,$A21,Comps!$C$3:$C$700,"Exit",Comps!$G$3:$G$700,"Y")</f>
        <v>3</v>
      </c>
      <c r="G21" s="32" t="n">
        <f aca="false" t="array" ref="G21:G21">IFERROR(MEDIAN(IF((Comps!$A$3:$A$700=$A21)*(Comps!$C$3:$C$700="Exit")*(Comps!$G$3:$G$700="Y"),Comps!$D$3:$D$700)),0)</f>
        <v>309380000</v>
      </c>
      <c r="H21" s="31" t="n">
        <f aca="false">COUNTIFS(Comps!$A$3:$A$700,$A21,Comps!$C$3:$C$700,"Private",Comps!$G$3:$G$700,"Y")</f>
        <v>3</v>
      </c>
      <c r="I21" s="32" t="n">
        <f aca="false">IFERROR(AVERAGEIFS(Comps!$D$3:$D$700,Comps!$A$3:$A$700,$A21,Comps!$C$3:$C$700,"Private",Comps!$G$3:$G$700,"Y"),0)</f>
        <v>161986666.666667</v>
      </c>
      <c r="J21" s="33" t="n">
        <v>1</v>
      </c>
      <c r="K21" s="32" t="n">
        <f aca="false">I21*J21</f>
        <v>161986666.666667</v>
      </c>
      <c r="L21" s="34" t="n">
        <f aca="false">IF(AND(G21&gt;0,K21&gt;0),(G21+K21)/2,MAX(G21,K21))</f>
        <v>235683333.333333</v>
      </c>
      <c r="M21" s="35" t="n">
        <v>0.0847</v>
      </c>
      <c r="N21" s="36" t="n">
        <f aca="false">IFERROR(INDEX(Assumptions!$D$11:$D$19,MATCH(D21,Assumptions!$A$11:$A$19,0)),0)</f>
        <v>0.72</v>
      </c>
      <c r="O21" s="37" t="n">
        <v>0.9</v>
      </c>
      <c r="P21" s="36" t="n">
        <f aca="false">IFERROR(IF(ISBLANK(O21),N21,O21),0)</f>
        <v>0.9</v>
      </c>
      <c r="Q21" s="38" t="n">
        <f aca="false">IFERROR(Assumptions!$B$5+INDEX(Assumptions!$E$11:$E$19,MATCH(D21,Assumptions!$A$11:$A$19,0)),Assumptions!$B$5)</f>
        <v>2028</v>
      </c>
      <c r="R21" s="39"/>
      <c r="S21" s="31" t="n">
        <f aca="false">IF(ISBLANK(R21),Q21,R21)</f>
        <v>2028</v>
      </c>
      <c r="T21" s="40" t="n">
        <f aca="false">L21*M21</f>
        <v>19962378.3333333</v>
      </c>
      <c r="U21" s="41" t="n">
        <f aca="false">P21*L21*M21</f>
        <v>17966140.5</v>
      </c>
      <c r="V21" s="32" t="n">
        <f aca="false">P21*G21*M21</f>
        <v>23584037.4</v>
      </c>
      <c r="W21" s="32" t="n">
        <f aca="false">P21*K21*M21</f>
        <v>12348243.6</v>
      </c>
      <c r="X21" s="32" t="n">
        <f aca="false">IFERROR(U21/(1+Assumptions!$B$6)^(S21-Assumptions!$B$5),0)</f>
        <v>13584983.3648393</v>
      </c>
      <c r="Y21" s="30" t="n">
        <v>7594000</v>
      </c>
      <c r="Z21" s="42" t="n">
        <f aca="false">IF(Y21=0,"",U21/Y21)</f>
        <v>2.3658336186463</v>
      </c>
      <c r="AA21" s="43" t="n">
        <f aca="false">E21*Assumptions!$B$8*M21</f>
        <v>33802923</v>
      </c>
      <c r="AB21" s="45" t="s">
        <v>111</v>
      </c>
    </row>
    <row r="22" customFormat="false" ht="15" hidden="false" customHeight="true" outlineLevel="0" collapsed="false">
      <c r="A22" s="26" t="s">
        <v>112</v>
      </c>
      <c r="B22" s="27" t="s">
        <v>113</v>
      </c>
      <c r="C22" s="28" t="s">
        <v>79</v>
      </c>
      <c r="D22" s="29" t="s">
        <v>114</v>
      </c>
      <c r="E22" s="30" t="n">
        <v>27970000</v>
      </c>
      <c r="F22" s="31" t="n">
        <f aca="false">COUNTIFS(Comps!$A$3:$A$700,$A22,Comps!$C$3:$C$700,"Exit",Comps!$G$3:$G$700,"Y")</f>
        <v>1</v>
      </c>
      <c r="G22" s="32" t="n">
        <f aca="false" t="array" ref="G22:G22">IFERROR(MEDIAN(IF((Comps!$A$3:$A$700=$A22)*(Comps!$C$3:$C$700="Exit")*(Comps!$G$3:$G$700="Y"),Comps!$D$3:$D$700)),0)</f>
        <v>113970000</v>
      </c>
      <c r="H22" s="31" t="n">
        <f aca="false">COUNTIFS(Comps!$A$3:$A$700,$A22,Comps!$C$3:$C$700,"Private",Comps!$G$3:$G$700,"Y")</f>
        <v>3</v>
      </c>
      <c r="I22" s="32" t="n">
        <f aca="false">IFERROR(AVERAGEIFS(Comps!$D$3:$D$700,Comps!$A$3:$A$700,$A22,Comps!$C$3:$C$700,"Private",Comps!$G$3:$G$700,"Y"),0)</f>
        <v>33393333.3333333</v>
      </c>
      <c r="J22" s="33" t="n">
        <f aca="false">Assumptions!$B$7</f>
        <v>2.5</v>
      </c>
      <c r="K22" s="32" t="n">
        <f aca="false">I22*J22</f>
        <v>83483333.3333333</v>
      </c>
      <c r="L22" s="34" t="n">
        <f aca="false">IF(AND(G22&gt;0,K22&gt;0),(G22+K22)/2,MAX(G22,K22))</f>
        <v>98726666.6666667</v>
      </c>
      <c r="M22" s="35" t="n">
        <v>0.1146</v>
      </c>
      <c r="N22" s="36" t="n">
        <f aca="false">IFERROR(INDEX(Assumptions!$D$11:$D$19,MATCH(D22,Assumptions!$A$11:$A$19,0)),0)</f>
        <v>0.45</v>
      </c>
      <c r="O22" s="37"/>
      <c r="P22" s="36" t="n">
        <f aca="false">IFERROR(IF(ISBLANK(O22),N22,O22),0)</f>
        <v>0.45</v>
      </c>
      <c r="Q22" s="38" t="n">
        <f aca="false">IFERROR(Assumptions!$B$5+INDEX(Assumptions!$E$11:$E$19,MATCH(D22,Assumptions!$A$11:$A$19,0)),Assumptions!$B$5)</f>
        <v>2030</v>
      </c>
      <c r="R22" s="39"/>
      <c r="S22" s="31" t="n">
        <f aca="false">IF(ISBLANK(R22),Q22,R22)</f>
        <v>2030</v>
      </c>
      <c r="T22" s="40" t="n">
        <f aca="false">L22*M22</f>
        <v>11314076</v>
      </c>
      <c r="U22" s="41" t="n">
        <f aca="false">P22*L22*M22</f>
        <v>5091334.2</v>
      </c>
      <c r="V22" s="32" t="n">
        <f aca="false">P22*G22*M22</f>
        <v>5877432.9</v>
      </c>
      <c r="W22" s="32" t="n">
        <f aca="false">P22*K22*M22</f>
        <v>4305235.5</v>
      </c>
      <c r="X22" s="32" t="n">
        <f aca="false">IFERROR(U22/(1+Assumptions!$B$6)^(S22-Assumptions!$B$5),0)</f>
        <v>2910986.85324881</v>
      </c>
      <c r="Y22" s="30" t="n">
        <v>2327000</v>
      </c>
      <c r="Z22" s="42" t="n">
        <f aca="false">IF(Y22=0,"",U22/Y22)</f>
        <v>2.18793906317147</v>
      </c>
      <c r="AA22" s="43" t="n">
        <f aca="false">E22*Assumptions!$B$8*M22</f>
        <v>9616086</v>
      </c>
      <c r="AB22" s="45" t="s">
        <v>115</v>
      </c>
    </row>
    <row r="23" customFormat="false" ht="15" hidden="false" customHeight="true" outlineLevel="0" collapsed="false">
      <c r="A23" s="26" t="s">
        <v>116</v>
      </c>
      <c r="B23" s="27" t="s">
        <v>117</v>
      </c>
      <c r="C23" s="28" t="s">
        <v>65</v>
      </c>
      <c r="D23" s="29" t="s">
        <v>118</v>
      </c>
      <c r="E23" s="30" t="n">
        <v>20270000</v>
      </c>
      <c r="F23" s="31" t="n">
        <f aca="false">COUNTIFS(Comps!$A$3:$A$700,$A23,Comps!$C$3:$C$700,"Exit",Comps!$G$3:$G$700,"Y")</f>
        <v>6</v>
      </c>
      <c r="G23" s="32" t="n">
        <f aca="false" t="array" ref="G23:G23">IFERROR(MEDIAN(IF((Comps!$A$3:$A$700=$A23)*(Comps!$C$3:$C$700="Exit")*(Comps!$G$3:$G$700="Y"),Comps!$D$3:$D$700)),0)</f>
        <v>81215000</v>
      </c>
      <c r="H23" s="31" t="n">
        <f aca="false">COUNTIFS(Comps!$A$3:$A$700,$A23,Comps!$C$3:$C$700,"Private",Comps!$G$3:$G$700,"Y")</f>
        <v>3</v>
      </c>
      <c r="I23" s="32" t="n">
        <f aca="false">IFERROR(AVERAGEIFS(Comps!$D$3:$D$700,Comps!$A$3:$A$700,$A23,Comps!$C$3:$C$700,"Private",Comps!$G$3:$G$700,"Y"),0)</f>
        <v>21856666.6666667</v>
      </c>
      <c r="J23" s="33" t="n">
        <f aca="false">Assumptions!$B$7</f>
        <v>2.5</v>
      </c>
      <c r="K23" s="32" t="n">
        <f aca="false">I23*J23</f>
        <v>54641666.6666667</v>
      </c>
      <c r="L23" s="34" t="n">
        <f aca="false">IF(AND(G23&gt;0,K23&gt;0),(G23+K23)/2,MAX(G23,K23))</f>
        <v>67928333.3333333</v>
      </c>
      <c r="M23" s="35" t="n">
        <v>0.083</v>
      </c>
      <c r="N23" s="36" t="n">
        <f aca="false">IFERROR(INDEX(Assumptions!$D$11:$D$19,MATCH(D23,Assumptions!$A$11:$A$19,0)),0)</f>
        <v>0.2</v>
      </c>
      <c r="O23" s="37"/>
      <c r="P23" s="36" t="n">
        <f aca="false">IFERROR(IF(ISBLANK(O23),N23,O23),0)</f>
        <v>0.2</v>
      </c>
      <c r="Q23" s="38" t="n">
        <f aca="false">IFERROR(Assumptions!$B$5+INDEX(Assumptions!$E$11:$E$19,MATCH(D23,Assumptions!$A$11:$A$19,0)),Assumptions!$B$5)</f>
        <v>2032</v>
      </c>
      <c r="R23" s="39"/>
      <c r="S23" s="31" t="n">
        <f aca="false">IF(ISBLANK(R23),Q23,R23)</f>
        <v>2032</v>
      </c>
      <c r="T23" s="40" t="n">
        <f aca="false">L23*M23</f>
        <v>5638051.66666667</v>
      </c>
      <c r="U23" s="41" t="n">
        <f aca="false">P23*L23*M23</f>
        <v>1127610.33333333</v>
      </c>
      <c r="V23" s="32" t="n">
        <f aca="false">P23*G23*M23</f>
        <v>1348169</v>
      </c>
      <c r="W23" s="32" t="n">
        <f aca="false">P23*K23*M23</f>
        <v>907051.666666667</v>
      </c>
      <c r="X23" s="32" t="n">
        <f aca="false">IFERROR(U23/(1+Assumptions!$B$6)^(S23-Assumptions!$B$5),0)</f>
        <v>487497.064535029</v>
      </c>
      <c r="Y23" s="30" t="n">
        <v>708000</v>
      </c>
      <c r="Z23" s="42" t="n">
        <f aca="false">IF(Y23=0,"",U23/Y23)</f>
        <v>1.59266996233522</v>
      </c>
      <c r="AA23" s="43" t="n">
        <f aca="false">E23*Assumptions!$B$8*M23</f>
        <v>5047230</v>
      </c>
      <c r="AB23" s="45" t="s">
        <v>119</v>
      </c>
    </row>
    <row r="24" customFormat="false" ht="15" hidden="false" customHeight="true" outlineLevel="0" collapsed="false">
      <c r="A24" s="26" t="s">
        <v>120</v>
      </c>
      <c r="B24" s="27" t="s">
        <v>121</v>
      </c>
      <c r="C24" s="28" t="s">
        <v>56</v>
      </c>
      <c r="D24" s="29" t="s">
        <v>70</v>
      </c>
      <c r="E24" s="30" t="n">
        <v>18850000</v>
      </c>
      <c r="F24" s="31" t="n">
        <f aca="false">COUNTIFS(Comps!$A$3:$A$700,$A24,Comps!$C$3:$C$700,"Exit",Comps!$G$3:$G$700,"Y")</f>
        <v>4</v>
      </c>
      <c r="G24" s="32" t="n">
        <f aca="false" t="array" ref="G24:G24">IFERROR(MEDIAN(IF((Comps!$A$3:$A$700=$A24)*(Comps!$C$3:$C$700="Exit")*(Comps!$G$3:$G$700="Y"),Comps!$D$3:$D$700)),0)</f>
        <v>27975000</v>
      </c>
      <c r="H24" s="31" t="n">
        <f aca="false">COUNTIFS(Comps!$A$3:$A$700,$A24,Comps!$C$3:$C$700,"Private",Comps!$G$3:$G$700,"Y")</f>
        <v>0</v>
      </c>
      <c r="I24" s="32" t="n">
        <f aca="false">IFERROR(AVERAGEIFS(Comps!$D$3:$D$700,Comps!$A$3:$A$700,$A24,Comps!$C$3:$C$700,"Private",Comps!$G$3:$G$700,"Y"),0)</f>
        <v>0</v>
      </c>
      <c r="J24" s="33" t="n">
        <f aca="false">Assumptions!$B$7</f>
        <v>2.5</v>
      </c>
      <c r="K24" s="32" t="n">
        <f aca="false">I24*J24</f>
        <v>0</v>
      </c>
      <c r="L24" s="34" t="n">
        <f aca="false">IF(AND(G24&gt;0,K24&gt;0),(G24+K24)/2,MAX(G24,K24))</f>
        <v>27975000</v>
      </c>
      <c r="M24" s="35" t="n">
        <v>0.0876</v>
      </c>
      <c r="N24" s="36" t="n">
        <f aca="false">IFERROR(INDEX(Assumptions!$D$11:$D$19,MATCH(D24,Assumptions!$A$11:$A$19,0)),0)</f>
        <v>0.72</v>
      </c>
      <c r="O24" s="37"/>
      <c r="P24" s="36" t="n">
        <f aca="false">IFERROR(IF(ISBLANK(O24),N24,O24),0)</f>
        <v>0.72</v>
      </c>
      <c r="Q24" s="38" t="n">
        <f aca="false">IFERROR(Assumptions!$B$5+INDEX(Assumptions!$E$11:$E$19,MATCH(D24,Assumptions!$A$11:$A$19,0)),Assumptions!$B$5)</f>
        <v>2028</v>
      </c>
      <c r="R24" s="39"/>
      <c r="S24" s="31" t="n">
        <f aca="false">IF(ISBLANK(R24),Q24,R24)</f>
        <v>2028</v>
      </c>
      <c r="T24" s="40" t="n">
        <f aca="false">L24*M24</f>
        <v>2450610</v>
      </c>
      <c r="U24" s="41" t="n">
        <f aca="false">P24*L24*M24</f>
        <v>1764439.2</v>
      </c>
      <c r="V24" s="32" t="n">
        <f aca="false">P24*G24*M24</f>
        <v>1764439.2</v>
      </c>
      <c r="W24" s="32" t="n">
        <f aca="false">P24*K24*M24</f>
        <v>0</v>
      </c>
      <c r="X24" s="32" t="n">
        <f aca="false">IFERROR(U24/(1+Assumptions!$B$6)^(S24-Assumptions!$B$5),0)</f>
        <v>1334169.52741021</v>
      </c>
      <c r="Y24" s="30" t="n">
        <v>650000</v>
      </c>
      <c r="Z24" s="42" t="n">
        <f aca="false">IF(Y24=0,"",U24/Y24)</f>
        <v>2.71452184615385</v>
      </c>
      <c r="AA24" s="43" t="n">
        <f aca="false">E24*Assumptions!$B$8*M24</f>
        <v>4953780</v>
      </c>
      <c r="AB24" s="45" t="s">
        <v>71</v>
      </c>
    </row>
    <row r="25" customFormat="false" ht="15" hidden="false" customHeight="true" outlineLevel="0" collapsed="false">
      <c r="A25" s="26" t="s">
        <v>122</v>
      </c>
      <c r="B25" s="27" t="s">
        <v>123</v>
      </c>
      <c r="C25" s="28" t="s">
        <v>56</v>
      </c>
      <c r="D25" s="29" t="s">
        <v>66</v>
      </c>
      <c r="E25" s="30" t="n">
        <v>53550000</v>
      </c>
      <c r="F25" s="31" t="n">
        <f aca="false">COUNTIFS(Comps!$A$3:$A$700,$A25,Comps!$C$3:$C$700,"Exit",Comps!$G$3:$G$700,"Y")</f>
        <v>2</v>
      </c>
      <c r="G25" s="32" t="n">
        <f aca="false" t="array" ref="G25:G25">IFERROR(MEDIAN(IF((Comps!$A$3:$A$700=$A25)*(Comps!$C$3:$C$700="Exit")*(Comps!$G$3:$G$700="Y"),Comps!$D$3:$D$700)),0)</f>
        <v>239840000</v>
      </c>
      <c r="H25" s="31" t="n">
        <f aca="false">COUNTIFS(Comps!$A$3:$A$700,$A25,Comps!$C$3:$C$700,"Private",Comps!$G$3:$G$700,"Y")</f>
        <v>2</v>
      </c>
      <c r="I25" s="32" t="n">
        <f aca="false">IFERROR(AVERAGEIFS(Comps!$D$3:$D$700,Comps!$A$3:$A$700,$A25,Comps!$C$3:$C$700,"Private",Comps!$G$3:$G$700,"Y"),0)</f>
        <v>83875000</v>
      </c>
      <c r="J25" s="33" t="n">
        <f aca="false">Assumptions!$B$7</f>
        <v>2.5</v>
      </c>
      <c r="K25" s="32" t="n">
        <f aca="false">I25*J25</f>
        <v>209687500</v>
      </c>
      <c r="L25" s="34" t="n">
        <f aca="false">IF(AND(G25&gt;0,K25&gt;0),(G25+K25)/2,MAX(G25,K25))</f>
        <v>224763750</v>
      </c>
      <c r="M25" s="35" t="n">
        <v>0.1322</v>
      </c>
      <c r="N25" s="36" t="n">
        <f aca="false">IFERROR(INDEX(Assumptions!$D$11:$D$19,MATCH(D25,Assumptions!$A$11:$A$19,0)),0)</f>
        <v>0.3</v>
      </c>
      <c r="O25" s="37"/>
      <c r="P25" s="36" t="n">
        <f aca="false">IFERROR(IF(ISBLANK(O25),N25,O25),0)</f>
        <v>0.3</v>
      </c>
      <c r="Q25" s="38" t="n">
        <f aca="false">IFERROR(Assumptions!$B$5+INDEX(Assumptions!$E$11:$E$19,MATCH(D25,Assumptions!$A$11:$A$19,0)),Assumptions!$B$5)</f>
        <v>2031</v>
      </c>
      <c r="R25" s="39"/>
      <c r="S25" s="31" t="n">
        <f aca="false">IF(ISBLANK(R25),Q25,R25)</f>
        <v>2031</v>
      </c>
      <c r="T25" s="40" t="n">
        <f aca="false">L25*M25</f>
        <v>29713767.75</v>
      </c>
      <c r="U25" s="41" t="n">
        <f aca="false">P25*L25*M25</f>
        <v>8914130.325</v>
      </c>
      <c r="V25" s="32" t="n">
        <f aca="false">P25*G25*M25</f>
        <v>9512054.4</v>
      </c>
      <c r="W25" s="32" t="n">
        <f aca="false">P25*K25*M25</f>
        <v>8316206.25</v>
      </c>
      <c r="X25" s="32" t="n">
        <f aca="false">IFERROR(U25/(1+Assumptions!$B$6)^(S25-Assumptions!$B$5),0)</f>
        <v>4431898.21300698</v>
      </c>
      <c r="Y25" s="30" t="n">
        <v>2857000</v>
      </c>
      <c r="Z25" s="42" t="n">
        <f aca="false">IF(Y25=0,"",U25/Y25)</f>
        <v>3.12010161883094</v>
      </c>
      <c r="AA25" s="43" t="n">
        <f aca="false">E25*Assumptions!$B$8*M25</f>
        <v>21237930</v>
      </c>
      <c r="AB25" s="45" t="s">
        <v>67</v>
      </c>
    </row>
    <row r="26" customFormat="false" ht="15" hidden="false" customHeight="true" outlineLevel="0" collapsed="false">
      <c r="A26" s="26" t="s">
        <v>124</v>
      </c>
      <c r="B26" s="27" t="s">
        <v>125</v>
      </c>
      <c r="C26" s="28" t="s">
        <v>79</v>
      </c>
      <c r="D26" s="29" t="s">
        <v>66</v>
      </c>
      <c r="E26" s="30" t="n">
        <v>32410000</v>
      </c>
      <c r="F26" s="31" t="n">
        <f aca="false">COUNTIFS(Comps!$A$3:$A$700,$A26,Comps!$C$3:$C$700,"Exit",Comps!$G$3:$G$700,"Y")</f>
        <v>3</v>
      </c>
      <c r="G26" s="32" t="n">
        <f aca="false" t="array" ref="G26:G26">IFERROR(MEDIAN(IF((Comps!$A$3:$A$700=$A26)*(Comps!$C$3:$C$700="Exit")*(Comps!$G$3:$G$700="Y"),Comps!$D$3:$D$700)),0)</f>
        <v>124750000</v>
      </c>
      <c r="H26" s="31" t="n">
        <f aca="false">COUNTIFS(Comps!$A$3:$A$700,$A26,Comps!$C$3:$C$700,"Private",Comps!$G$3:$G$700,"Y")</f>
        <v>1</v>
      </c>
      <c r="I26" s="32" t="n">
        <f aca="false">IFERROR(AVERAGEIFS(Comps!$D$3:$D$700,Comps!$A$3:$A$700,$A26,Comps!$C$3:$C$700,"Private",Comps!$G$3:$G$700,"Y"),0)</f>
        <v>34610000</v>
      </c>
      <c r="J26" s="33" t="n">
        <f aca="false">Assumptions!$B$7</f>
        <v>2.5</v>
      </c>
      <c r="K26" s="32" t="n">
        <f aca="false">I26*J26</f>
        <v>86525000</v>
      </c>
      <c r="L26" s="34" t="n">
        <f aca="false">IF(AND(G26&gt;0,K26&gt;0),(G26+K26)/2,MAX(G26,K26))</f>
        <v>105637500</v>
      </c>
      <c r="M26" s="35" t="n">
        <v>0.0833</v>
      </c>
      <c r="N26" s="36" t="n">
        <f aca="false">IFERROR(INDEX(Assumptions!$D$11:$D$19,MATCH(D26,Assumptions!$A$11:$A$19,0)),0)</f>
        <v>0.3</v>
      </c>
      <c r="O26" s="37" t="n">
        <v>0.67</v>
      </c>
      <c r="P26" s="36" t="n">
        <f aca="false">IFERROR(IF(ISBLANK(O26),N26,O26),0)</f>
        <v>0.67</v>
      </c>
      <c r="Q26" s="38" t="n">
        <f aca="false">IFERROR(Assumptions!$B$5+INDEX(Assumptions!$E$11:$E$19,MATCH(D26,Assumptions!$A$11:$A$19,0)),Assumptions!$B$5)</f>
        <v>2031</v>
      </c>
      <c r="R26" s="39"/>
      <c r="S26" s="31" t="n">
        <f aca="false">IF(ISBLANK(R26),Q26,R26)</f>
        <v>2031</v>
      </c>
      <c r="T26" s="40" t="n">
        <f aca="false">L26*M26</f>
        <v>8799603.75</v>
      </c>
      <c r="U26" s="41" t="n">
        <f aca="false">P26*L26*M26</f>
        <v>5895734.5125</v>
      </c>
      <c r="V26" s="32" t="n">
        <f aca="false">P26*G26*M26</f>
        <v>6962422.25</v>
      </c>
      <c r="W26" s="32" t="n">
        <f aca="false">P26*K26*M26</f>
        <v>4829046.775</v>
      </c>
      <c r="X26" s="32" t="n">
        <f aca="false">IFERROR(U26/(1+Assumptions!$B$6)^(S26-Assumptions!$B$5),0)</f>
        <v>2931222.03711021</v>
      </c>
      <c r="Y26" s="30" t="n">
        <v>2212000</v>
      </c>
      <c r="Z26" s="42" t="n">
        <f aca="false">IF(Y26=0,"",U26/Y26)</f>
        <v>2.66534109968354</v>
      </c>
      <c r="AA26" s="43" t="n">
        <f aca="false">E26*Assumptions!$B$8*M26</f>
        <v>8099259</v>
      </c>
      <c r="AB26" s="45" t="s">
        <v>126</v>
      </c>
    </row>
    <row r="27" customFormat="false" ht="15" hidden="false" customHeight="true" outlineLevel="0" collapsed="false">
      <c r="A27" s="26" t="s">
        <v>127</v>
      </c>
      <c r="B27" s="27" t="s">
        <v>128</v>
      </c>
      <c r="C27" s="28" t="s">
        <v>79</v>
      </c>
      <c r="D27" s="29" t="s">
        <v>66</v>
      </c>
      <c r="E27" s="30" t="n">
        <v>84430000</v>
      </c>
      <c r="F27" s="31" t="n">
        <f aca="false">COUNTIFS(Comps!$A$3:$A$700,$A27,Comps!$C$3:$C$700,"Exit",Comps!$G$3:$G$700,"Y")</f>
        <v>2</v>
      </c>
      <c r="G27" s="32" t="n">
        <f aca="false" t="array" ref="G27:G27">IFERROR(MEDIAN(IF((Comps!$A$3:$A$700=$A27)*(Comps!$C$3:$C$700="Exit")*(Comps!$G$3:$G$700="Y"),Comps!$D$3:$D$700)),0)</f>
        <v>495115000</v>
      </c>
      <c r="H27" s="31" t="n">
        <f aca="false">COUNTIFS(Comps!$A$3:$A$700,$A27,Comps!$C$3:$C$700,"Private",Comps!$G$3:$G$700,"Y")</f>
        <v>3</v>
      </c>
      <c r="I27" s="32" t="n">
        <f aca="false">IFERROR(AVERAGEIFS(Comps!$D$3:$D$700,Comps!$A$3:$A$700,$A27,Comps!$C$3:$C$700,"Private",Comps!$G$3:$G$700,"Y"),0)</f>
        <v>87820000</v>
      </c>
      <c r="J27" s="33" t="n">
        <f aca="false">Assumptions!$B$7</f>
        <v>2.5</v>
      </c>
      <c r="K27" s="32" t="n">
        <f aca="false">I27*J27</f>
        <v>219550000</v>
      </c>
      <c r="L27" s="34" t="n">
        <f aca="false">IF(AND(G27&gt;0,K27&gt;0),(G27+K27)/2,MAX(G27,K27))</f>
        <v>357332500</v>
      </c>
      <c r="M27" s="35" t="n">
        <v>0.131</v>
      </c>
      <c r="N27" s="36" t="n">
        <f aca="false">IFERROR(INDEX(Assumptions!$D$11:$D$19,MATCH(D27,Assumptions!$A$11:$A$19,0)),0)</f>
        <v>0.3</v>
      </c>
      <c r="O27" s="37"/>
      <c r="P27" s="36" t="n">
        <f aca="false">IFERROR(IF(ISBLANK(O27),N27,O27),0)</f>
        <v>0.3</v>
      </c>
      <c r="Q27" s="38" t="n">
        <f aca="false">IFERROR(Assumptions!$B$5+INDEX(Assumptions!$E$11:$E$19,MATCH(D27,Assumptions!$A$11:$A$19,0)),Assumptions!$B$5)</f>
        <v>2031</v>
      </c>
      <c r="R27" s="39"/>
      <c r="S27" s="31" t="n">
        <f aca="false">IF(ISBLANK(R27),Q27,R27)</f>
        <v>2031</v>
      </c>
      <c r="T27" s="40" t="n">
        <f aca="false">L27*M27</f>
        <v>46810557.5</v>
      </c>
      <c r="U27" s="41" t="n">
        <f aca="false">P27*L27*M27</f>
        <v>14043167.25</v>
      </c>
      <c r="V27" s="32" t="n">
        <f aca="false">P27*G27*M27</f>
        <v>19458019.5</v>
      </c>
      <c r="W27" s="32" t="n">
        <f aca="false">P27*K27*M27</f>
        <v>8628315</v>
      </c>
      <c r="X27" s="32" t="n">
        <f aca="false">IFERROR(U27/(1+Assumptions!$B$6)^(S27-Assumptions!$B$5),0)</f>
        <v>6981936.04660286</v>
      </c>
      <c r="Y27" s="30" t="n">
        <v>5208000</v>
      </c>
      <c r="Z27" s="42" t="n">
        <f aca="false">IF(Y27=0,"",U27/Y27)</f>
        <v>2.69646068548387</v>
      </c>
      <c r="AA27" s="43" t="n">
        <f aca="false">E27*Assumptions!$B$8*M27</f>
        <v>33180990</v>
      </c>
      <c r="AB27" s="45" t="s">
        <v>67</v>
      </c>
    </row>
    <row r="28" customFormat="false" ht="15" hidden="false" customHeight="true" outlineLevel="0" collapsed="false">
      <c r="A28" s="26" t="s">
        <v>129</v>
      </c>
      <c r="B28" s="27" t="s">
        <v>130</v>
      </c>
      <c r="C28" s="28" t="s">
        <v>79</v>
      </c>
      <c r="D28" s="29" t="s">
        <v>66</v>
      </c>
      <c r="E28" s="30" t="n">
        <v>58020000</v>
      </c>
      <c r="F28" s="31" t="n">
        <f aca="false">COUNTIFS(Comps!$A$3:$A$700,$A28,Comps!$C$3:$C$700,"Exit",Comps!$G$3:$G$700,"Y")</f>
        <v>4</v>
      </c>
      <c r="G28" s="32" t="n">
        <f aca="false" t="array" ref="G28:G28">IFERROR(MEDIAN(IF((Comps!$A$3:$A$700=$A28)*(Comps!$C$3:$C$700="Exit")*(Comps!$G$3:$G$700="Y"),Comps!$D$3:$D$700)),0)</f>
        <v>225745000</v>
      </c>
      <c r="H28" s="31" t="n">
        <f aca="false">COUNTIFS(Comps!$A$3:$A$700,$A28,Comps!$C$3:$C$700,"Private",Comps!$G$3:$G$700,"Y")</f>
        <v>3</v>
      </c>
      <c r="I28" s="32" t="n">
        <f aca="false">IFERROR(AVERAGEIFS(Comps!$D$3:$D$700,Comps!$A$3:$A$700,$A28,Comps!$C$3:$C$700,"Private",Comps!$G$3:$G$700,"Y"),0)</f>
        <v>94810000</v>
      </c>
      <c r="J28" s="33" t="n">
        <f aca="false">Assumptions!$B$7</f>
        <v>2.5</v>
      </c>
      <c r="K28" s="32" t="n">
        <f aca="false">I28*J28</f>
        <v>237025000</v>
      </c>
      <c r="L28" s="34" t="n">
        <f aca="false">IF(AND(G28&gt;0,K28&gt;0),(G28+K28)/2,MAX(G28,K28))</f>
        <v>231385000</v>
      </c>
      <c r="M28" s="35" t="n">
        <v>0.0864</v>
      </c>
      <c r="N28" s="36" t="n">
        <f aca="false">IFERROR(INDEX(Assumptions!$D$11:$D$19,MATCH(D28,Assumptions!$A$11:$A$19,0)),0)</f>
        <v>0.3</v>
      </c>
      <c r="O28" s="37" t="n">
        <v>0.69</v>
      </c>
      <c r="P28" s="36" t="n">
        <f aca="false">IFERROR(IF(ISBLANK(O28),N28,O28),0)</f>
        <v>0.69</v>
      </c>
      <c r="Q28" s="38" t="n">
        <f aca="false">IFERROR(Assumptions!$B$5+INDEX(Assumptions!$E$11:$E$19,MATCH(D28,Assumptions!$A$11:$A$19,0)),Assumptions!$B$5)</f>
        <v>2031</v>
      </c>
      <c r="R28" s="39" t="n">
        <v>2034</v>
      </c>
      <c r="S28" s="31" t="n">
        <f aca="false">IF(ISBLANK(R28),Q28,R28)</f>
        <v>2034</v>
      </c>
      <c r="T28" s="40" t="n">
        <f aca="false">L28*M28</f>
        <v>19991664</v>
      </c>
      <c r="U28" s="41" t="n">
        <f aca="false">P28*L28*M28</f>
        <v>13794248.16</v>
      </c>
      <c r="V28" s="32" t="n">
        <f aca="false">P28*G28*M28</f>
        <v>13458013.92</v>
      </c>
      <c r="W28" s="32" t="n">
        <f aca="false">P28*K28*M28</f>
        <v>14130482.4</v>
      </c>
      <c r="X28" s="32" t="n">
        <f aca="false">IFERROR(U28/(1+Assumptions!$B$6)^(S28-Assumptions!$B$5),0)</f>
        <v>4509364.19237823</v>
      </c>
      <c r="Y28" s="30" t="n">
        <v>4200000</v>
      </c>
      <c r="Z28" s="42" t="n">
        <f aca="false">IF(Y28=0,"",U28/Y28)</f>
        <v>3.2843448</v>
      </c>
      <c r="AA28" s="43" t="n">
        <f aca="false">E28*Assumptions!$B$8*M28</f>
        <v>15038784</v>
      </c>
      <c r="AB28" s="45" t="s">
        <v>131</v>
      </c>
    </row>
    <row r="29" customFormat="false" ht="15" hidden="false" customHeight="true" outlineLevel="0" collapsed="false">
      <c r="A29" s="26" t="s">
        <v>132</v>
      </c>
      <c r="B29" s="27" t="s">
        <v>133</v>
      </c>
      <c r="C29" s="28" t="s">
        <v>79</v>
      </c>
      <c r="D29" s="29" t="s">
        <v>66</v>
      </c>
      <c r="E29" s="49" t="n">
        <v>43730000</v>
      </c>
      <c r="F29" s="46" t="n">
        <f aca="false">COUNTIFS(Comps!$A$3:$A$700,$A29,Comps!$C$3:$C$700,"Exit",Comps!$G$3:$G$700,"Y")</f>
        <v>3</v>
      </c>
      <c r="G29" s="46" t="n">
        <f aca="false" t="array" ref="G29:G29">IFERROR(MEDIAN(IF((Comps!$A$3:$A$700=$A29)*(Comps!$C$3:$C$700="Exit")*(Comps!$G$3:$G$700="Y"),Comps!$D$3:$D$700)),0)</f>
        <v>144020000</v>
      </c>
      <c r="H29" s="46" t="n">
        <f aca="false">COUNTIFS(Comps!$A$3:$A$700,$A29,Comps!$C$3:$C$700,"Private",Comps!$G$3:$G$700,"Y")</f>
        <v>2</v>
      </c>
      <c r="I29" s="46" t="n">
        <f aca="false">IFERROR(AVERAGEIFS(Comps!$D$3:$D$700,Comps!$A$3:$A$700,$A29,Comps!$C$3:$C$700,"Private",Comps!$G$3:$G$700,"Y"),0)</f>
        <v>97195000</v>
      </c>
      <c r="J29" s="46" t="n">
        <f aca="false">Assumptions!$B$7</f>
        <v>2.5</v>
      </c>
      <c r="K29" s="46" t="n">
        <f aca="false">I29*J29</f>
        <v>242987500</v>
      </c>
      <c r="L29" s="46" t="n">
        <f aca="false">IF(AND(G29&gt;0,K29&gt;0),(G29+K29)/2,MAX(G29,K29))</f>
        <v>193503750</v>
      </c>
      <c r="M29" s="35" t="n">
        <v>0.0309</v>
      </c>
      <c r="N29" s="36" t="n">
        <f aca="false">IFERROR(INDEX(Assumptions!$D$11:$D$19,MATCH(D29,Assumptions!$A$11:$A$19,0)),0)</f>
        <v>0.3</v>
      </c>
      <c r="O29" s="37"/>
      <c r="P29" s="36" t="n">
        <f aca="false">IFERROR(IF(ISBLANK(O29),N29,O29),0)</f>
        <v>0.3</v>
      </c>
      <c r="Q29" s="46" t="n">
        <f aca="false">IFERROR(Assumptions!$B$5+INDEX(Assumptions!$E$11:$E$19,MATCH(D29,Assumptions!$A$11:$A$19,0)),Assumptions!$B$5)</f>
        <v>2031</v>
      </c>
      <c r="R29" s="46"/>
      <c r="S29" s="46" t="n">
        <f aca="false">IF(ISBLANK(R29),Q29,R29)</f>
        <v>2031</v>
      </c>
      <c r="T29" s="46" t="n">
        <f aca="false">L29*M29</f>
        <v>5979265.875</v>
      </c>
      <c r="U29" s="46" t="n">
        <f aca="false">P29*L29*M29</f>
        <v>1793779.7625</v>
      </c>
      <c r="V29" s="46" t="n">
        <f aca="false">P29*G29*M29</f>
        <v>1335065.4</v>
      </c>
      <c r="W29" s="46" t="n">
        <f aca="false">P29*K29*M29</f>
        <v>2252494.125</v>
      </c>
      <c r="X29" s="46" t="n">
        <f aca="false">IFERROR(U29/(1+Assumptions!$B$6)^(S29-Assumptions!$B$5),0)</f>
        <v>891825.566163892</v>
      </c>
      <c r="Y29" s="30" t="n">
        <v>902000</v>
      </c>
      <c r="Z29" s="42" t="n">
        <f aca="false">IF(Y29=0,"",U29/Y29)</f>
        <v>1.9886693597561</v>
      </c>
      <c r="AA29" s="43" t="n">
        <f aca="false">E29*Assumptions!$B$8*M29</f>
        <v>4053771</v>
      </c>
      <c r="AB29" s="45" t="s">
        <v>67</v>
      </c>
    </row>
    <row r="30" customFormat="false" ht="15" hidden="false" customHeight="true" outlineLevel="0" collapsed="false">
      <c r="A30" s="26" t="s">
        <v>134</v>
      </c>
      <c r="B30" s="27" t="s">
        <v>135</v>
      </c>
      <c r="C30" s="28" t="s">
        <v>56</v>
      </c>
      <c r="D30" s="29" t="s">
        <v>70</v>
      </c>
      <c r="E30" s="30" t="n">
        <v>21340000</v>
      </c>
      <c r="F30" s="31" t="n">
        <f aca="false">COUNTIFS(Comps!$A$3:$A$700,$A30,Comps!$C$3:$C$700,"Exit",Comps!$G$3:$G$700,"Y")</f>
        <v>2</v>
      </c>
      <c r="G30" s="32" t="n">
        <f aca="false" t="array" ref="G30:G30">IFERROR(MEDIAN(IF((Comps!$A$3:$A$700=$A30)*(Comps!$C$3:$C$700="Exit")*(Comps!$G$3:$G$700="Y"),Comps!$D$3:$D$700)),0)</f>
        <v>53545000</v>
      </c>
      <c r="H30" s="31" t="n">
        <f aca="false">COUNTIFS(Comps!$A$3:$A$700,$A30,Comps!$C$3:$C$700,"Private",Comps!$G$3:$G$700,"Y")</f>
        <v>4</v>
      </c>
      <c r="I30" s="32" t="n">
        <f aca="false">IFERROR(AVERAGEIFS(Comps!$D$3:$D$700,Comps!$A$3:$A$700,$A30,Comps!$C$3:$C$700,"Private",Comps!$G$3:$G$700,"Y"),0)</f>
        <v>32620000</v>
      </c>
      <c r="J30" s="33" t="n">
        <f aca="false">Assumptions!$B$7</f>
        <v>2.5</v>
      </c>
      <c r="K30" s="32" t="n">
        <f aca="false">I30*J30</f>
        <v>81550000</v>
      </c>
      <c r="L30" s="34" t="n">
        <f aca="false">IF(AND(G30&gt;0,K30&gt;0),(G30+K30)/2,MAX(G30,K30))</f>
        <v>67547500</v>
      </c>
      <c r="M30" s="35" t="n">
        <v>0.0371</v>
      </c>
      <c r="N30" s="36" t="n">
        <f aca="false">IFERROR(INDEX(Assumptions!$D$11:$D$19,MATCH(D30,Assumptions!$A$11:$A$19,0)),0)</f>
        <v>0.72</v>
      </c>
      <c r="O30" s="37"/>
      <c r="P30" s="36" t="n">
        <f aca="false">IFERROR(IF(ISBLANK(O30),N30,O30),0)</f>
        <v>0.72</v>
      </c>
      <c r="Q30" s="38" t="n">
        <f aca="false">IFERROR(Assumptions!$B$5+INDEX(Assumptions!$E$11:$E$19,MATCH(D30,Assumptions!$A$11:$A$19,0)),Assumptions!$B$5)</f>
        <v>2028</v>
      </c>
      <c r="R30" s="39"/>
      <c r="S30" s="31" t="n">
        <f aca="false">IF(ISBLANK(R30),Q30,R30)</f>
        <v>2028</v>
      </c>
      <c r="T30" s="40" t="n">
        <f aca="false">L30*M30</f>
        <v>2506012.25</v>
      </c>
      <c r="U30" s="41" t="n">
        <f aca="false">P30*L30*M30</f>
        <v>1804328.82</v>
      </c>
      <c r="V30" s="32" t="n">
        <f aca="false">P30*G30*M30</f>
        <v>1430294.04</v>
      </c>
      <c r="W30" s="32" t="n">
        <f aca="false">P30*K30*M30</f>
        <v>2178363.6</v>
      </c>
      <c r="X30" s="32" t="n">
        <f aca="false">IFERROR(U30/(1+Assumptions!$B$6)^(S30-Assumptions!$B$5),0)</f>
        <v>1364331.81096408</v>
      </c>
      <c r="Y30" s="30" t="n">
        <v>443000</v>
      </c>
      <c r="Z30" s="42" t="n">
        <f aca="false">IF(Y30=0,"",U30/Y30)</f>
        <v>4.07297702031603</v>
      </c>
      <c r="AA30" s="43" t="n">
        <f aca="false">E30*Assumptions!$B$8*M30</f>
        <v>2375142</v>
      </c>
      <c r="AB30" s="45" t="s">
        <v>71</v>
      </c>
    </row>
    <row r="31" customFormat="false" ht="15" hidden="false" customHeight="true" outlineLevel="0" collapsed="false">
      <c r="A31" s="26" t="s">
        <v>136</v>
      </c>
      <c r="B31" s="27" t="s">
        <v>137</v>
      </c>
      <c r="C31" s="28" t="s">
        <v>79</v>
      </c>
      <c r="D31" s="29" t="s">
        <v>66</v>
      </c>
      <c r="E31" s="30" t="n">
        <v>37900000</v>
      </c>
      <c r="F31" s="31" t="n">
        <f aca="false">COUNTIFS(Comps!$A$3:$A$700,$A31,Comps!$C$3:$C$700,"Exit",Comps!$G$3:$G$700,"Y")</f>
        <v>6</v>
      </c>
      <c r="G31" s="32" t="n">
        <f aca="false" t="array" ref="G31:G31">IFERROR(MEDIAN(IF((Comps!$A$3:$A$700=$A31)*(Comps!$C$3:$C$700="Exit")*(Comps!$G$3:$G$700="Y"),Comps!$D$3:$D$700)),0)</f>
        <v>115540000</v>
      </c>
      <c r="H31" s="31" t="n">
        <f aca="false">COUNTIFS(Comps!$A$3:$A$700,$A31,Comps!$C$3:$C$700,"Private",Comps!$G$3:$G$700,"Y")</f>
        <v>3</v>
      </c>
      <c r="I31" s="32" t="n">
        <f aca="false">IFERROR(AVERAGEIFS(Comps!$D$3:$D$700,Comps!$A$3:$A$700,$A31,Comps!$C$3:$C$700,"Private",Comps!$G$3:$G$700,"Y"),0)</f>
        <v>82240000</v>
      </c>
      <c r="J31" s="33" t="n">
        <f aca="false">Assumptions!$B$7</f>
        <v>2.5</v>
      </c>
      <c r="K31" s="32" t="n">
        <f aca="false">I31*J31</f>
        <v>205600000</v>
      </c>
      <c r="L31" s="34" t="n">
        <f aca="false">IF(AND(G31&gt;0,K31&gt;0),(G31+K31)/2,MAX(G31,K31))</f>
        <v>160570000</v>
      </c>
      <c r="M31" s="35" t="n">
        <v>0.1625</v>
      </c>
      <c r="N31" s="36" t="n">
        <f aca="false">IFERROR(INDEX(Assumptions!$D$11:$D$19,MATCH(D31,Assumptions!$A$11:$A$19,0)),0)</f>
        <v>0.3</v>
      </c>
      <c r="O31" s="37" t="n">
        <v>0.38</v>
      </c>
      <c r="P31" s="36" t="n">
        <f aca="false">IFERROR(IF(ISBLANK(O31),N31,O31),0)</f>
        <v>0.38</v>
      </c>
      <c r="Q31" s="38" t="n">
        <f aca="false">IFERROR(Assumptions!$B$5+INDEX(Assumptions!$E$11:$E$19,MATCH(D31,Assumptions!$A$11:$A$19,0)),Assumptions!$B$5)</f>
        <v>2031</v>
      </c>
      <c r="R31" s="39"/>
      <c r="S31" s="31" t="n">
        <f aca="false">IF(ISBLANK(R31),Q31,R31)</f>
        <v>2031</v>
      </c>
      <c r="T31" s="40" t="n">
        <f aca="false">L31*M31</f>
        <v>26092625</v>
      </c>
      <c r="U31" s="41" t="n">
        <f aca="false">P31*L31*M31</f>
        <v>9915197.5</v>
      </c>
      <c r="V31" s="32" t="n">
        <f aca="false">P31*G31*M31</f>
        <v>7134595</v>
      </c>
      <c r="W31" s="32" t="n">
        <f aca="false">P31*K31*M31</f>
        <v>12695800</v>
      </c>
      <c r="X31" s="32" t="n">
        <f aca="false">IFERROR(U31/(1+Assumptions!$B$6)^(S31-Assumptions!$B$5),0)</f>
        <v>4929605.52288777</v>
      </c>
      <c r="Y31" s="30" t="n">
        <v>4464000</v>
      </c>
      <c r="Z31" s="42" t="n">
        <f aca="false">IF(Y31=0,"",U31/Y31)</f>
        <v>2.22114639336918</v>
      </c>
      <c r="AA31" s="43" t="n">
        <f aca="false">E31*Assumptions!$B$8*M31</f>
        <v>18476250</v>
      </c>
      <c r="AB31" s="45" t="s">
        <v>138</v>
      </c>
    </row>
    <row r="32" customFormat="false" ht="15" hidden="false" customHeight="true" outlineLevel="0" collapsed="false">
      <c r="A32" s="26" t="s">
        <v>139</v>
      </c>
      <c r="B32" s="27" t="s">
        <v>140</v>
      </c>
      <c r="C32" s="28" t="s">
        <v>56</v>
      </c>
      <c r="D32" s="29" t="s">
        <v>70</v>
      </c>
      <c r="E32" s="30" t="n">
        <v>13430000</v>
      </c>
      <c r="F32" s="31" t="n">
        <f aca="false">COUNTIFS(Comps!$A$3:$A$700,$A32,Comps!$C$3:$C$700,"Exit",Comps!$G$3:$G$700,"Y")</f>
        <v>3</v>
      </c>
      <c r="G32" s="32" t="n">
        <f aca="false" t="array" ref="G32:G32">IFERROR(MEDIAN(IF((Comps!$A$3:$A$700=$A32)*(Comps!$C$3:$C$700="Exit")*(Comps!$G$3:$G$700="Y"),Comps!$D$3:$D$700)),0)</f>
        <v>18920000</v>
      </c>
      <c r="H32" s="31" t="n">
        <f aca="false">COUNTIFS(Comps!$A$3:$A$700,$A32,Comps!$C$3:$C$700,"Private",Comps!$G$3:$G$700,"Y")</f>
        <v>1</v>
      </c>
      <c r="I32" s="32" t="n">
        <f aca="false">IFERROR(AVERAGEIFS(Comps!$D$3:$D$700,Comps!$A$3:$A$700,$A32,Comps!$C$3:$C$700,"Private",Comps!$G$3:$G$700,"Y"),0)</f>
        <v>9740000</v>
      </c>
      <c r="J32" s="33" t="n">
        <f aca="false">Assumptions!$B$7</f>
        <v>2.5</v>
      </c>
      <c r="K32" s="32" t="n">
        <f aca="false">I32*J32</f>
        <v>24350000</v>
      </c>
      <c r="L32" s="34" t="n">
        <f aca="false">IF(AND(G32&gt;0,K32&gt;0),(G32+K32)/2,MAX(G32,K32))</f>
        <v>21635000</v>
      </c>
      <c r="M32" s="35" t="n">
        <v>0.0711</v>
      </c>
      <c r="N32" s="36" t="n">
        <f aca="false">IFERROR(INDEX(Assumptions!$D$11:$D$19,MATCH(D32,Assumptions!$A$11:$A$19,0)),0)</f>
        <v>0.72</v>
      </c>
      <c r="O32" s="37"/>
      <c r="P32" s="36" t="n">
        <f aca="false">IFERROR(IF(ISBLANK(O32),N32,O32),0)</f>
        <v>0.72</v>
      </c>
      <c r="Q32" s="38" t="n">
        <f aca="false">IFERROR(Assumptions!$B$5+INDEX(Assumptions!$E$11:$E$19,MATCH(D32,Assumptions!$A$11:$A$19,0)),Assumptions!$B$5)</f>
        <v>2028</v>
      </c>
      <c r="R32" s="39"/>
      <c r="S32" s="31" t="n">
        <f aca="false">IF(ISBLANK(R32),Q32,R32)</f>
        <v>2028</v>
      </c>
      <c r="T32" s="40" t="n">
        <f aca="false">L32*M32</f>
        <v>1538248.5</v>
      </c>
      <c r="U32" s="41" t="n">
        <f aca="false">P32*L32*M32</f>
        <v>1107538.92</v>
      </c>
      <c r="V32" s="32" t="n">
        <f aca="false">P32*G32*M32</f>
        <v>968552.64</v>
      </c>
      <c r="W32" s="32" t="n">
        <f aca="false">P32*K32*M32</f>
        <v>1246525.2</v>
      </c>
      <c r="X32" s="32" t="n">
        <f aca="false">IFERROR(U32/(1+Assumptions!$B$6)^(S32-Assumptions!$B$5),0)</f>
        <v>837458.540642722</v>
      </c>
      <c r="Y32" s="30" t="n">
        <v>417000</v>
      </c>
      <c r="Z32" s="42" t="n">
        <f aca="false">IF(Y32=0,"",U32/Y32)</f>
        <v>2.65596863309353</v>
      </c>
      <c r="AA32" s="43" t="n">
        <f aca="false">E32*Assumptions!$B$8*M32</f>
        <v>2864619</v>
      </c>
      <c r="AB32" s="45" t="s">
        <v>71</v>
      </c>
    </row>
    <row r="33" customFormat="false" ht="15" hidden="false" customHeight="true" outlineLevel="0" collapsed="false">
      <c r="A33" s="26" t="s">
        <v>141</v>
      </c>
      <c r="B33" s="27" t="s">
        <v>142</v>
      </c>
      <c r="C33" s="28" t="s">
        <v>56</v>
      </c>
      <c r="D33" s="29" t="s">
        <v>143</v>
      </c>
      <c r="E33" s="30" t="n">
        <v>82520000</v>
      </c>
      <c r="F33" s="31" t="n">
        <f aca="false">COUNTIFS(Comps!$A$3:$A$700,$A33,Comps!$C$3:$C$700,"Exit",Comps!$G$3:$G$700,"Y")</f>
        <v>4</v>
      </c>
      <c r="G33" s="32" t="n">
        <f aca="false" t="array" ref="G33:G33">IFERROR(MEDIAN(IF((Comps!$A$3:$A$700=$A33)*(Comps!$C$3:$C$700="Exit")*(Comps!$G$3:$G$700="Y"),Comps!$D$3:$D$700)),0)</f>
        <v>408960000</v>
      </c>
      <c r="H33" s="31" t="n">
        <f aca="false">COUNTIFS(Comps!$A$3:$A$700,$A33,Comps!$C$3:$C$700,"Private",Comps!$G$3:$G$700,"Y")</f>
        <v>5</v>
      </c>
      <c r="I33" s="32" t="n">
        <f aca="false">IFERROR(AVERAGEIFS(Comps!$D$3:$D$700,Comps!$A$3:$A$700,$A33,Comps!$C$3:$C$700,"Private",Comps!$G$3:$G$700,"Y"),0)</f>
        <v>104762000</v>
      </c>
      <c r="J33" s="33" t="n">
        <f aca="false">Assumptions!$B$7</f>
        <v>2.5</v>
      </c>
      <c r="K33" s="32" t="n">
        <f aca="false">I33*J33</f>
        <v>261905000</v>
      </c>
      <c r="L33" s="34" t="n">
        <f aca="false">IF(AND(G33&gt;0,K33&gt;0),(G33+K33)/2,MAX(G33,K33))</f>
        <v>335432500</v>
      </c>
      <c r="M33" s="35" t="n">
        <v>0.1037</v>
      </c>
      <c r="N33" s="36" t="n">
        <f aca="false">IFERROR(INDEX(Assumptions!$D$11:$D$19,MATCH(D33,Assumptions!$A$11:$A$19,0)),0)</f>
        <v>0.62</v>
      </c>
      <c r="O33" s="37"/>
      <c r="P33" s="36" t="n">
        <f aca="false">IFERROR(IF(ISBLANK(O33),N33,O33),0)</f>
        <v>0.62</v>
      </c>
      <c r="Q33" s="38" t="n">
        <f aca="false">IFERROR(Assumptions!$B$5+INDEX(Assumptions!$E$11:$E$19,MATCH(D33,Assumptions!$A$11:$A$19,0)),Assumptions!$B$5)</f>
        <v>2029</v>
      </c>
      <c r="R33" s="39"/>
      <c r="S33" s="31" t="n">
        <f aca="false">IF(ISBLANK(R33),Q33,R33)</f>
        <v>2029</v>
      </c>
      <c r="T33" s="40" t="n">
        <f aca="false">L33*M33</f>
        <v>34784350.25</v>
      </c>
      <c r="U33" s="41" t="n">
        <f aca="false">P33*L33*M33</f>
        <v>21566297.155</v>
      </c>
      <c r="V33" s="32" t="n">
        <f aca="false">P33*G33*M33</f>
        <v>26293674.24</v>
      </c>
      <c r="W33" s="32" t="n">
        <f aca="false">P33*K33*M33</f>
        <v>16838920.07</v>
      </c>
      <c r="X33" s="32" t="n">
        <f aca="false">IFERROR(U33/(1+Assumptions!$B$6)^(S33-Assumptions!$B$5),0)</f>
        <v>14180190.4528643</v>
      </c>
      <c r="Y33" s="30" t="n">
        <v>6749000</v>
      </c>
      <c r="Z33" s="42" t="n">
        <f aca="false">IF(Y33=0,"",U33/Y33)</f>
        <v>3.19548039042821</v>
      </c>
      <c r="AA33" s="43" t="n">
        <f aca="false">E33*Assumptions!$B$8*M33</f>
        <v>25671972</v>
      </c>
      <c r="AB33" s="45" t="s">
        <v>144</v>
      </c>
    </row>
    <row r="34" customFormat="false" ht="24" hidden="false" customHeight="true" outlineLevel="0" collapsed="false">
      <c r="A34" s="26" t="s">
        <v>145</v>
      </c>
      <c r="B34" s="27" t="s">
        <v>146</v>
      </c>
      <c r="C34" s="28" t="s">
        <v>56</v>
      </c>
      <c r="D34" s="29" t="s">
        <v>70</v>
      </c>
      <c r="E34" s="30" t="n">
        <v>37020000</v>
      </c>
      <c r="F34" s="31" t="n">
        <f aca="false">COUNTIFS(Comps!$A$3:$A$700,$A34,Comps!$C$3:$C$700,"Exit",Comps!$G$3:$G$700,"Y")</f>
        <v>3</v>
      </c>
      <c r="G34" s="32" t="n">
        <f aca="false" t="array" ref="G34:G34">IFERROR(MEDIAN(IF((Comps!$A$3:$A$700=$A34)*(Comps!$C$3:$C$700="Exit")*(Comps!$G$3:$G$700="Y"),Comps!$D$3:$D$700)),0)</f>
        <v>55810000</v>
      </c>
      <c r="H34" s="31" t="n">
        <f aca="false">COUNTIFS(Comps!$A$3:$A$700,$A34,Comps!$C$3:$C$700,"Private",Comps!$G$3:$G$700,"Y")</f>
        <v>3</v>
      </c>
      <c r="I34" s="32" t="n">
        <f aca="false">IFERROR(AVERAGEIFS(Comps!$D$3:$D$700,Comps!$A$3:$A$700,$A34,Comps!$C$3:$C$700,"Private",Comps!$G$3:$G$700,"Y"),0)</f>
        <v>32596666.6666667</v>
      </c>
      <c r="J34" s="33" t="n">
        <v>1</v>
      </c>
      <c r="K34" s="32" t="n">
        <f aca="false">I34*J34</f>
        <v>32596666.6666667</v>
      </c>
      <c r="L34" s="34" t="n">
        <f aca="false">IF(AND(G34&gt;0,K34&gt;0),(G34+K34)/2,MAX(G34,K34))</f>
        <v>44203333.3333333</v>
      </c>
      <c r="M34" s="35" t="n">
        <v>0.0321</v>
      </c>
      <c r="N34" s="36" t="n">
        <f aca="false">IFERROR(INDEX(Assumptions!$D$11:$D$19,MATCH(D34,Assumptions!$A$11:$A$19,0)),0)</f>
        <v>0.72</v>
      </c>
      <c r="O34" s="37"/>
      <c r="P34" s="36" t="n">
        <f aca="false">IFERROR(IF(ISBLANK(O34),N34,O34),0)</f>
        <v>0.72</v>
      </c>
      <c r="Q34" s="38" t="n">
        <f aca="false">IFERROR(Assumptions!$B$5+INDEX(Assumptions!$E$11:$E$19,MATCH(D34,Assumptions!$A$11:$A$19,0)),Assumptions!$B$5)</f>
        <v>2028</v>
      </c>
      <c r="R34" s="39"/>
      <c r="S34" s="31" t="n">
        <f aca="false">IF(ISBLANK(R34),Q34,R34)</f>
        <v>2028</v>
      </c>
      <c r="T34" s="50" t="n">
        <f aca="false">L34*M34</f>
        <v>1418927</v>
      </c>
      <c r="U34" s="51" t="n">
        <f aca="false">P34*L34*M34</f>
        <v>1021627.44</v>
      </c>
      <c r="V34" s="32" t="n">
        <f aca="false">P34*G34*M34</f>
        <v>1289880.72</v>
      </c>
      <c r="W34" s="32" t="n">
        <f aca="false">P34*K34*M34</f>
        <v>753374.16</v>
      </c>
      <c r="X34" s="32" t="n">
        <f aca="false">IFERROR(U34/(1+Assumptions!$B$6)^(S34-Assumptions!$B$5),0)</f>
        <v>772497.119092628</v>
      </c>
      <c r="Y34" s="30" t="n">
        <v>1063000</v>
      </c>
      <c r="Z34" s="42" t="n">
        <f aca="false">IF(Y34=0,"",U34/Y34)</f>
        <v>0.961079435559737</v>
      </c>
      <c r="AA34" s="43" t="n">
        <f aca="false">E34*Assumptions!$B$8*M34</f>
        <v>3565026</v>
      </c>
      <c r="AB34" s="45" t="s">
        <v>74</v>
      </c>
    </row>
    <row r="35" customFormat="false" ht="27" hidden="false" customHeight="true" outlineLevel="0" collapsed="false">
      <c r="A35" s="26" t="s">
        <v>147</v>
      </c>
      <c r="B35" s="27" t="s">
        <v>148</v>
      </c>
      <c r="C35" s="28" t="s">
        <v>56</v>
      </c>
      <c r="D35" s="52" t="s">
        <v>149</v>
      </c>
      <c r="E35" s="53" t="n">
        <v>900000000</v>
      </c>
      <c r="F35" s="53" t="n">
        <f aca="false">COUNTIFS(Comps!$A$3:$A$700,$A35,Comps!$C$3:$C$700,"Exit",Comps!$G$3:$G$700,"Y")</f>
        <v>1</v>
      </c>
      <c r="G35" s="53" t="n">
        <f aca="false" t="array" ref="G35:G35">IFERROR(MEDIAN(IF((Comps!$A$3:$A$700=$A35)*(Comps!$C$3:$C$700="Exit")*(Comps!$G$3:$G$700="Y"),Comps!$D$3:$D$700)),0)</f>
        <v>900000000</v>
      </c>
      <c r="H35" s="53" t="n">
        <f aca="false">COUNTIFS(Comps!$A$3:$A$700,$A35,Comps!$C$3:$C$700,"Private",Comps!$G$3:$G$700,"Y")</f>
        <v>0</v>
      </c>
      <c r="I35" s="53" t="n">
        <f aca="false">IFERROR(AVERAGEIFS(Comps!$D$3:$D$700,Comps!$A$3:$A$700,$A35,Comps!$C$3:$C$700,"Private",Comps!$G$3:$G$700,"Y"),0)</f>
        <v>0</v>
      </c>
      <c r="J35" s="53" t="n">
        <f aca="false">Assumptions!$B$7</f>
        <v>2.5</v>
      </c>
      <c r="K35" s="53" t="n">
        <f aca="false">I35*J35</f>
        <v>0</v>
      </c>
      <c r="L35" s="53" t="n">
        <f aca="false">IF(AND(G35&gt;0,K35&gt;0),(G35+K35)/2,MAX(G35,K35))</f>
        <v>900000000</v>
      </c>
      <c r="M35" s="53" t="n">
        <v>0.035</v>
      </c>
      <c r="N35" s="53" t="n">
        <f aca="false">IFERROR(INDEX(Assumptions!$D$11:$D$19,MATCH(D35,Assumptions!$A$11:$A$19,0)),0)</f>
        <v>1</v>
      </c>
      <c r="O35" s="53"/>
      <c r="P35" s="54" t="n">
        <f aca="false">IFERROR(IF(ISBLANK(O35),N35,O35),0)</f>
        <v>1</v>
      </c>
      <c r="Q35" s="53" t="n">
        <f aca="false">IFERROR(Assumptions!$B$5+INDEX(Assumptions!$E$11:$E$19,MATCH(D35,Assumptions!$A$11:$A$19,0)),Assumptions!$B$5)</f>
        <v>2026</v>
      </c>
      <c r="R35" s="53"/>
      <c r="S35" s="55" t="n">
        <f aca="false">IF(ISBLANK(R35),Q35,R35)</f>
        <v>2026</v>
      </c>
      <c r="T35" s="56" t="n">
        <f aca="false">L35*M35</f>
        <v>31500000</v>
      </c>
      <c r="U35" s="56" t="n">
        <f aca="false">P35*L35*M35</f>
        <v>31500000</v>
      </c>
      <c r="V35" s="57" t="n">
        <f aca="false">P35*G35*M35</f>
        <v>31500000</v>
      </c>
      <c r="W35" s="53" t="n">
        <f aca="false">P35*K35*M35</f>
        <v>0</v>
      </c>
      <c r="X35" s="53" t="n">
        <f aca="false">IFERROR(U35/(1+Assumptions!$B$6)^(S35-Assumptions!$B$5),0)</f>
        <v>31500000</v>
      </c>
      <c r="Y35" s="30" t="n">
        <v>7553000</v>
      </c>
      <c r="Z35" s="42" t="n">
        <f aca="false">IF(Y35=0,"",U35/Y35)</f>
        <v>4.17052826691381</v>
      </c>
      <c r="AA35" s="43" t="n">
        <f aca="false">E35*Assumptions!$B$8*M35</f>
        <v>94500000</v>
      </c>
      <c r="AB35" s="45" t="s">
        <v>150</v>
      </c>
    </row>
    <row r="36" customFormat="false" ht="15" hidden="false" customHeight="true" outlineLevel="0" collapsed="false">
      <c r="A36" s="26" t="s">
        <v>151</v>
      </c>
      <c r="B36" s="27" t="s">
        <v>152</v>
      </c>
      <c r="C36" s="28" t="s">
        <v>79</v>
      </c>
      <c r="D36" s="29" t="s">
        <v>57</v>
      </c>
      <c r="E36" s="30" t="n">
        <v>21170000</v>
      </c>
      <c r="F36" s="31" t="n">
        <f aca="false">COUNTIFS(Comps!$A$3:$A$700,$A36,Comps!$C$3:$C$700,"Exit",Comps!$G$3:$G$700,"Y")</f>
        <v>6</v>
      </c>
      <c r="G36" s="32" t="n">
        <f aca="false" t="array" ref="G36:G36">IFERROR(MEDIAN(IF((Comps!$A$3:$A$700=$A36)*(Comps!$C$3:$C$700="Exit")*(Comps!$G$3:$G$700="Y"),Comps!$D$3:$D$700)),0)</f>
        <v>108115000</v>
      </c>
      <c r="H36" s="31" t="n">
        <f aca="false">COUNTIFS(Comps!$A$3:$A$700,$A36,Comps!$C$3:$C$700,"Private",Comps!$G$3:$G$700,"Y")</f>
        <v>2</v>
      </c>
      <c r="I36" s="32" t="n">
        <f aca="false">IFERROR(AVERAGEIFS(Comps!$D$3:$D$700,Comps!$A$3:$A$700,$A36,Comps!$C$3:$C$700,"Private",Comps!$G$3:$G$700,"Y"),0)</f>
        <v>28280000</v>
      </c>
      <c r="J36" s="33" t="n">
        <f aca="false">Assumptions!$B$7</f>
        <v>2.5</v>
      </c>
      <c r="K36" s="32" t="n">
        <f aca="false">I36*J36</f>
        <v>70700000</v>
      </c>
      <c r="L36" s="34" t="n">
        <f aca="false">IF(AND(G36&gt;0,K36&gt;0),(G36+K36)/2,MAX(G36,K36))</f>
        <v>89407500</v>
      </c>
      <c r="M36" s="35" t="n">
        <v>0.1196</v>
      </c>
      <c r="N36" s="36" t="n">
        <f aca="false">IFERROR(INDEX(Assumptions!$D$11:$D$19,MATCH(D36,Assumptions!$A$11:$A$19,0)),0)</f>
        <v>0.13</v>
      </c>
      <c r="O36" s="37" t="n">
        <v>0.76</v>
      </c>
      <c r="P36" s="36" t="n">
        <f aca="false">IFERROR(IF(ISBLANK(O36),N36,O36),0)</f>
        <v>0.76</v>
      </c>
      <c r="Q36" s="38" t="n">
        <f aca="false">IFERROR(Assumptions!$B$5+INDEX(Assumptions!$E$11:$E$19,MATCH(D36,Assumptions!$A$11:$A$19,0)),Assumptions!$B$5)</f>
        <v>2033</v>
      </c>
      <c r="R36" s="39"/>
      <c r="S36" s="31" t="n">
        <f aca="false">IF(ISBLANK(R36),Q36,R36)</f>
        <v>2033</v>
      </c>
      <c r="T36" s="58" t="n">
        <f aca="false">L36*M36</f>
        <v>10693137</v>
      </c>
      <c r="U36" s="59" t="n">
        <f aca="false">P36*L36*M36</f>
        <v>8126784.12</v>
      </c>
      <c r="V36" s="32" t="n">
        <f aca="false">P36*G36*M36</f>
        <v>9827221.04</v>
      </c>
      <c r="W36" s="32" t="n">
        <f aca="false">P36*K36*M36</f>
        <v>6426347.2</v>
      </c>
      <c r="X36" s="32" t="n">
        <f aca="false">IFERROR(U36/(1+Assumptions!$B$6)^(S36-Assumptions!$B$5),0)</f>
        <v>3055159.1661668</v>
      </c>
      <c r="Y36" s="30" t="n">
        <v>2051000</v>
      </c>
      <c r="Z36" s="42" t="n">
        <f aca="false">IF(Y36=0,"",U36/Y36)</f>
        <v>3.96235208191126</v>
      </c>
      <c r="AA36" s="43" t="n">
        <f aca="false">E36*Assumptions!$B$8*M36</f>
        <v>7595796</v>
      </c>
      <c r="AB36" s="45" t="s">
        <v>153</v>
      </c>
    </row>
    <row r="37" customFormat="false" ht="15" hidden="false" customHeight="true" outlineLevel="0" collapsed="false">
      <c r="A37" s="26" t="s">
        <v>154</v>
      </c>
      <c r="B37" s="27" t="s">
        <v>155</v>
      </c>
      <c r="C37" s="28" t="s">
        <v>65</v>
      </c>
      <c r="D37" s="29" t="s">
        <v>57</v>
      </c>
      <c r="E37" s="30" t="n">
        <v>20760000</v>
      </c>
      <c r="F37" s="31" t="n">
        <f aca="false">COUNTIFS(Comps!$A$3:$A$700,$A37,Comps!$C$3:$C$700,"Exit",Comps!$G$3:$G$700,"Y")</f>
        <v>2</v>
      </c>
      <c r="G37" s="32" t="n">
        <f aca="false" t="array" ref="G37:G37">IFERROR(MEDIAN(IF((Comps!$A$3:$A$700=$A37)*(Comps!$C$3:$C$700="Exit")*(Comps!$G$3:$G$700="Y"),Comps!$D$3:$D$700)),0)</f>
        <v>62545000</v>
      </c>
      <c r="H37" s="31" t="n">
        <f aca="false">COUNTIFS(Comps!$A$3:$A$700,$A37,Comps!$C$3:$C$700,"Private",Comps!$G$3:$G$700,"Y")</f>
        <v>1</v>
      </c>
      <c r="I37" s="32" t="n">
        <f aca="false">IFERROR(AVERAGEIFS(Comps!$D$3:$D$700,Comps!$A$3:$A$700,$A37,Comps!$C$3:$C$700,"Private",Comps!$G$3:$G$700,"Y"),0)</f>
        <v>28950000</v>
      </c>
      <c r="J37" s="33" t="n">
        <f aca="false">Assumptions!$B$7</f>
        <v>2.5</v>
      </c>
      <c r="K37" s="32" t="n">
        <f aca="false">I37*J37</f>
        <v>72375000</v>
      </c>
      <c r="L37" s="34" t="n">
        <f aca="false">IF(AND(G37&gt;0,K37&gt;0),(G37+K37)/2,MAX(G37,K37))</f>
        <v>67460000</v>
      </c>
      <c r="M37" s="35" t="n">
        <v>0.0191</v>
      </c>
      <c r="N37" s="36" t="n">
        <f aca="false">IFERROR(INDEX(Assumptions!$D$11:$D$19,MATCH(D37,Assumptions!$A$11:$A$19,0)),0)</f>
        <v>0.13</v>
      </c>
      <c r="O37" s="37"/>
      <c r="P37" s="36" t="n">
        <f aca="false">IFERROR(IF(ISBLANK(O37),N37,O37),0)</f>
        <v>0.13</v>
      </c>
      <c r="Q37" s="38" t="n">
        <f aca="false">IFERROR(Assumptions!$B$5+INDEX(Assumptions!$E$11:$E$19,MATCH(D37,Assumptions!$A$11:$A$19,0)),Assumptions!$B$5)</f>
        <v>2033</v>
      </c>
      <c r="R37" s="39"/>
      <c r="S37" s="31" t="n">
        <f aca="false">IF(ISBLANK(R37),Q37,R37)</f>
        <v>2033</v>
      </c>
      <c r="T37" s="40" t="n">
        <f aca="false">L37*M37</f>
        <v>1288486</v>
      </c>
      <c r="U37" s="41" t="n">
        <f aca="false">P37*L37*M37</f>
        <v>167503.18</v>
      </c>
      <c r="V37" s="32" t="n">
        <f aca="false">P37*G37*M37</f>
        <v>155299.235</v>
      </c>
      <c r="W37" s="32" t="n">
        <f aca="false">P37*K37*M37</f>
        <v>179707.125</v>
      </c>
      <c r="X37" s="32" t="n">
        <f aca="false">IFERROR(U37/(1+Assumptions!$B$6)^(S37-Assumptions!$B$5),0)</f>
        <v>62970.649666905</v>
      </c>
      <c r="Y37" s="30" t="n">
        <v>168000</v>
      </c>
      <c r="Z37" s="42" t="n">
        <f aca="false">IF(Y37=0,"",U37/Y37)</f>
        <v>0.997042738095238</v>
      </c>
      <c r="AA37" s="43" t="n">
        <f aca="false">E37*Assumptions!$B$8*M37</f>
        <v>1189548</v>
      </c>
      <c r="AB37" s="45" t="s">
        <v>58</v>
      </c>
    </row>
    <row r="38" customFormat="false" ht="15" hidden="false" customHeight="true" outlineLevel="0" collapsed="false">
      <c r="A38" s="26" t="s">
        <v>156</v>
      </c>
      <c r="B38" s="27" t="s">
        <v>157</v>
      </c>
      <c r="C38" s="28" t="s">
        <v>79</v>
      </c>
      <c r="D38" s="29" t="s">
        <v>70</v>
      </c>
      <c r="E38" s="30" t="n">
        <v>37020000</v>
      </c>
      <c r="F38" s="31" t="n">
        <f aca="false">COUNTIFS(Comps!$A$3:$A$700,$A38,Comps!$C$3:$C$700,"Exit",Comps!$G$3:$G$700,"Y")</f>
        <v>6</v>
      </c>
      <c r="G38" s="32" t="n">
        <f aca="false" t="array" ref="G38:G38">IFERROR(MEDIAN(IF((Comps!$A$3:$A$700=$A38)*(Comps!$C$3:$C$700="Exit")*(Comps!$G$3:$G$700="Y"),Comps!$D$3:$D$700)),0)</f>
        <v>75165000</v>
      </c>
      <c r="H38" s="31" t="n">
        <f aca="false">COUNTIFS(Comps!$A$3:$A$700,$A38,Comps!$C$3:$C$700,"Private",Comps!$G$3:$G$700,"Y")</f>
        <v>1</v>
      </c>
      <c r="I38" s="32" t="n">
        <f aca="false">IFERROR(AVERAGEIFS(Comps!$D$3:$D$700,Comps!$A$3:$A$700,$A38,Comps!$C$3:$C$700,"Private",Comps!$G$3:$G$700,"Y"),0)</f>
        <v>20940000</v>
      </c>
      <c r="J38" s="33" t="n">
        <f aca="false">Assumptions!$B$7</f>
        <v>2.5</v>
      </c>
      <c r="K38" s="32" t="n">
        <f aca="false">I38*J38</f>
        <v>52350000</v>
      </c>
      <c r="L38" s="34" t="n">
        <f aca="false">IF(AND(G38&gt;0,K38&gt;0),(G38+K38)/2,MAX(G38,K38))</f>
        <v>63757500</v>
      </c>
      <c r="M38" s="35" t="n">
        <v>0.0255</v>
      </c>
      <c r="N38" s="36" t="n">
        <f aca="false">IFERROR(INDEX(Assumptions!$D$11:$D$19,MATCH(D38,Assumptions!$A$11:$A$19,0)),0)</f>
        <v>0.72</v>
      </c>
      <c r="O38" s="37"/>
      <c r="P38" s="36" t="n">
        <f aca="false">IFERROR(IF(ISBLANK(O38),N38,O38),0)</f>
        <v>0.72</v>
      </c>
      <c r="Q38" s="38" t="n">
        <f aca="false">IFERROR(Assumptions!$B$5+INDEX(Assumptions!$E$11:$E$19,MATCH(D38,Assumptions!$A$11:$A$19,0)),Assumptions!$B$5)</f>
        <v>2028</v>
      </c>
      <c r="R38" s="39"/>
      <c r="S38" s="31" t="n">
        <f aca="false">IF(ISBLANK(R38),Q38,R38)</f>
        <v>2028</v>
      </c>
      <c r="T38" s="40" t="n">
        <f aca="false">L38*M38</f>
        <v>1625816.25</v>
      </c>
      <c r="U38" s="41" t="n">
        <f aca="false">P38*L38*M38</f>
        <v>1170587.7</v>
      </c>
      <c r="V38" s="32" t="n">
        <f aca="false">P38*G38*M38</f>
        <v>1380029.4</v>
      </c>
      <c r="W38" s="32" t="n">
        <f aca="false">P38*K38*M38</f>
        <v>961146</v>
      </c>
      <c r="X38" s="32" t="n">
        <f aca="false">IFERROR(U38/(1+Assumptions!$B$6)^(S38-Assumptions!$B$5),0)</f>
        <v>885132.476370511</v>
      </c>
      <c r="Y38" s="30" t="n">
        <v>693000</v>
      </c>
      <c r="Z38" s="42" t="n">
        <f aca="false">IF(Y38=0,"",U38/Y38)</f>
        <v>1.68915974025974</v>
      </c>
      <c r="AA38" s="43" t="n">
        <f aca="false">E38*Assumptions!$B$8*M38</f>
        <v>2832030</v>
      </c>
      <c r="AB38" s="45" t="s">
        <v>71</v>
      </c>
    </row>
    <row r="39" customFormat="false" ht="15" hidden="false" customHeight="true" outlineLevel="0" collapsed="false">
      <c r="A39" s="26" t="s">
        <v>158</v>
      </c>
      <c r="B39" s="27" t="s">
        <v>159</v>
      </c>
      <c r="C39" s="28" t="s">
        <v>56</v>
      </c>
      <c r="D39" s="29" t="s">
        <v>70</v>
      </c>
      <c r="E39" s="30" t="n">
        <v>35690000</v>
      </c>
      <c r="F39" s="31" t="n">
        <f aca="false">COUNTIFS(Comps!$A$3:$A$700,$A39,Comps!$C$3:$C$700,"Exit",Comps!$G$3:$G$700,"Y")</f>
        <v>2</v>
      </c>
      <c r="G39" s="32" t="n">
        <f aca="false" t="array" ref="G39:G39">IFERROR(MEDIAN(IF((Comps!$A$3:$A$700=$A39)*(Comps!$C$3:$C$700="Exit")*(Comps!$G$3:$G$700="Y"),Comps!$D$3:$D$700)),0)</f>
        <v>63315000</v>
      </c>
      <c r="H39" s="31" t="n">
        <f aca="false">COUNTIFS(Comps!$A$3:$A$700,$A39,Comps!$C$3:$C$700,"Private",Comps!$G$3:$G$700,"Y")</f>
        <v>2</v>
      </c>
      <c r="I39" s="32" t="n">
        <f aca="false">IFERROR(AVERAGEIFS(Comps!$D$3:$D$700,Comps!$A$3:$A$700,$A39,Comps!$C$3:$C$700,"Private",Comps!$G$3:$G$700,"Y"),0)</f>
        <v>31800000</v>
      </c>
      <c r="J39" s="33" t="n">
        <f aca="false">Assumptions!$B$7</f>
        <v>2.5</v>
      </c>
      <c r="K39" s="32" t="n">
        <f aca="false">I39*J39</f>
        <v>79500000</v>
      </c>
      <c r="L39" s="34" t="n">
        <f aca="false">IF(AND(G39&gt;0,K39&gt;0),(G39+K39)/2,MAX(G39,K39))</f>
        <v>71407500</v>
      </c>
      <c r="M39" s="35" t="n">
        <v>0.0365</v>
      </c>
      <c r="N39" s="36" t="n">
        <f aca="false">IFERROR(INDEX(Assumptions!$D$11:$D$19,MATCH(D39,Assumptions!$A$11:$A$19,0)),0)</f>
        <v>0.72</v>
      </c>
      <c r="O39" s="37"/>
      <c r="P39" s="36" t="n">
        <f aca="false">IFERROR(IF(ISBLANK(O39),N39,O39),0)</f>
        <v>0.72</v>
      </c>
      <c r="Q39" s="38" t="n">
        <f aca="false">IFERROR(Assumptions!$B$5+INDEX(Assumptions!$E$11:$E$19,MATCH(D39,Assumptions!$A$11:$A$19,0)),Assumptions!$B$5)</f>
        <v>2028</v>
      </c>
      <c r="R39" s="39"/>
      <c r="S39" s="31" t="n">
        <f aca="false">IF(ISBLANK(R39),Q39,R39)</f>
        <v>2028</v>
      </c>
      <c r="T39" s="40" t="n">
        <f aca="false">L39*M39</f>
        <v>2606373.75</v>
      </c>
      <c r="U39" s="41" t="n">
        <f aca="false">P39*L39*M39</f>
        <v>1876589.1</v>
      </c>
      <c r="V39" s="32" t="n">
        <f aca="false">P39*G39*M39</f>
        <v>1663918.2</v>
      </c>
      <c r="W39" s="32" t="n">
        <f aca="false">P39*K39*M39</f>
        <v>2089260</v>
      </c>
      <c r="X39" s="32" t="n">
        <f aca="false">IFERROR(U39/(1+Assumptions!$B$6)^(S39-Assumptions!$B$5),0)</f>
        <v>1418970.96408318</v>
      </c>
      <c r="Y39" s="30" t="n">
        <v>745000</v>
      </c>
      <c r="Z39" s="42" t="n">
        <f aca="false">IF(Y39=0,"",U39/Y39)</f>
        <v>2.51891154362416</v>
      </c>
      <c r="AA39" s="43" t="n">
        <f aca="false">E39*Assumptions!$B$8*M39</f>
        <v>3908055</v>
      </c>
      <c r="AB39" s="45" t="s">
        <v>71</v>
      </c>
    </row>
    <row r="40" customFormat="false" ht="15" hidden="false" customHeight="true" outlineLevel="0" collapsed="false">
      <c r="A40" s="26" t="s">
        <v>160</v>
      </c>
      <c r="B40" s="27" t="s">
        <v>161</v>
      </c>
      <c r="C40" s="28" t="s">
        <v>79</v>
      </c>
      <c r="D40" s="29" t="s">
        <v>70</v>
      </c>
      <c r="E40" s="30" t="n">
        <v>20330000</v>
      </c>
      <c r="F40" s="60" t="n">
        <f aca="false">COUNTIFS(Comps!$A$3:$A$700,$A40,Comps!$C$3:$C$700,"Exit",Comps!$G$3:$G$700,"Y")</f>
        <v>4</v>
      </c>
      <c r="G40" s="60" t="n">
        <f aca="false" t="array" ref="G40:G40">IFERROR(MEDIAN(IF((Comps!$A$3:$A$700=$A40)*(Comps!$C$3:$C$700="Exit")*(Comps!$G$3:$G$700="Y"),Comps!$D$3:$D$700)),0)</f>
        <v>43950000</v>
      </c>
      <c r="H40" s="60" t="n">
        <f aca="false">COUNTIFS(Comps!$A$3:$A$700,$A40,Comps!$C$3:$C$700,"Private",Comps!$G$3:$G$700,"Y")</f>
        <v>3</v>
      </c>
      <c r="I40" s="60" t="n">
        <f aca="false">IFERROR(AVERAGEIFS(Comps!$D$3:$D$700,Comps!$A$3:$A$700,$A40,Comps!$C$3:$C$700,"Private",Comps!$G$3:$G$700,"Y"),0)</f>
        <v>35160000</v>
      </c>
      <c r="J40" s="60" t="n">
        <f aca="false">Assumptions!$B$7</f>
        <v>2.5</v>
      </c>
      <c r="K40" s="60" t="n">
        <f aca="false">I40*J40</f>
        <v>87900000</v>
      </c>
      <c r="L40" s="60" t="n">
        <f aca="false">IF(AND(G40&gt;0,K40&gt;0),(G40+K40)/2,MAX(G40,K40))</f>
        <v>65925000</v>
      </c>
      <c r="M40" s="35" t="n">
        <v>0.0685</v>
      </c>
      <c r="N40" s="36" t="n">
        <f aca="false">IFERROR(INDEX(Assumptions!$D$11:$D$19,MATCH(D40,Assumptions!$A$11:$A$19,0)),0)</f>
        <v>0.72</v>
      </c>
      <c r="O40" s="37" t="n">
        <v>0.37</v>
      </c>
      <c r="P40" s="61" t="n">
        <f aca="false">IFERROR(IF(ISBLANK(O40),N40,O40),0)</f>
        <v>0.37</v>
      </c>
      <c r="Q40" s="62" t="n">
        <f aca="false">IFERROR(Assumptions!$B$5+INDEX(Assumptions!$E$11:$E$19,MATCH(D40,Assumptions!$A$11:$A$19,0)),Assumptions!$B$5)</f>
        <v>2028</v>
      </c>
      <c r="R40" s="62"/>
      <c r="S40" s="62" t="n">
        <f aca="false">IF(ISBLANK(R40),Q40,R40)</f>
        <v>2028</v>
      </c>
      <c r="T40" s="62" t="n">
        <f aca="false">L40*M40</f>
        <v>4515862.5</v>
      </c>
      <c r="U40" s="62" t="n">
        <f aca="false">P40*L40*M40</f>
        <v>1670869.125</v>
      </c>
      <c r="V40" s="62" t="n">
        <f aca="false">P40*G40*M40</f>
        <v>1113912.75</v>
      </c>
      <c r="W40" s="62" t="n">
        <f aca="false">P40*K40*M40</f>
        <v>2227825.5</v>
      </c>
      <c r="X40" s="62" t="n">
        <f aca="false">IFERROR(U40/(1+Assumptions!$B$6)^(S40-Assumptions!$B$5),0)</f>
        <v>1263417.10775047</v>
      </c>
      <c r="Y40" s="30" t="n">
        <v>1058000</v>
      </c>
      <c r="Z40" s="42" t="n">
        <f aca="false">IF(Y40=0,"",U40/Y40)</f>
        <v>1.57927138468809</v>
      </c>
      <c r="AA40" s="43" t="n">
        <f aca="false">E40*Assumptions!$B$8*M40</f>
        <v>4177815</v>
      </c>
      <c r="AB40" s="63" t="s">
        <v>162</v>
      </c>
    </row>
    <row r="41" customFormat="false" ht="15" hidden="false" customHeight="true" outlineLevel="0" collapsed="false">
      <c r="A41" s="26" t="s">
        <v>163</v>
      </c>
      <c r="B41" s="27" t="s">
        <v>164</v>
      </c>
      <c r="C41" s="28" t="s">
        <v>79</v>
      </c>
      <c r="D41" s="29" t="s">
        <v>70</v>
      </c>
      <c r="E41" s="30" t="n">
        <v>46330000</v>
      </c>
      <c r="F41" s="31" t="n">
        <f aca="false">COUNTIFS(Comps!$A$3:$A$700,$A41,Comps!$C$3:$C$700,"Exit",Comps!$G$3:$G$700,"Y")</f>
        <v>6</v>
      </c>
      <c r="G41" s="32" t="n">
        <f aca="false" t="array" ref="G41:G41">IFERROR(MEDIAN(IF((Comps!$A$3:$A$700=$A41)*(Comps!$C$3:$C$700="Exit")*(Comps!$G$3:$G$700="Y"),Comps!$D$3:$D$700)),0)</f>
        <v>111020000</v>
      </c>
      <c r="H41" s="31" t="n">
        <f aca="false">COUNTIFS(Comps!$A$3:$A$700,$A41,Comps!$C$3:$C$700,"Private",Comps!$G$3:$G$700,"Y")</f>
        <v>2</v>
      </c>
      <c r="I41" s="32" t="n">
        <f aca="false">IFERROR(AVERAGEIFS(Comps!$D$3:$D$700,Comps!$A$3:$A$700,$A41,Comps!$C$3:$C$700,"Private",Comps!$G$3:$G$700,"Y"),0)</f>
        <v>29850000</v>
      </c>
      <c r="J41" s="33" t="n">
        <f aca="false">Assumptions!$B$7</f>
        <v>2.5</v>
      </c>
      <c r="K41" s="32" t="n">
        <f aca="false">I41*J41</f>
        <v>74625000</v>
      </c>
      <c r="L41" s="34" t="n">
        <f aca="false">IF(AND(G41&gt;0,K41&gt;0),(G41+K41)/2,MAX(G41,K41))</f>
        <v>92822500</v>
      </c>
      <c r="M41" s="35" t="n">
        <v>0.0534</v>
      </c>
      <c r="N41" s="36" t="n">
        <f aca="false">IFERROR(INDEX(Assumptions!$D$11:$D$19,MATCH(D41,Assumptions!$A$11:$A$19,0)),0)</f>
        <v>0.72</v>
      </c>
      <c r="O41" s="37"/>
      <c r="P41" s="36" t="n">
        <f aca="false">IFERROR(IF(ISBLANK(O41),N41,O41),0)</f>
        <v>0.72</v>
      </c>
      <c r="Q41" s="38" t="n">
        <f aca="false">IFERROR(Assumptions!$B$5+INDEX(Assumptions!$E$11:$E$19,MATCH(D41,Assumptions!$A$11:$A$19,0)),Assumptions!$B$5)</f>
        <v>2028</v>
      </c>
      <c r="R41" s="39"/>
      <c r="S41" s="31" t="n">
        <f aca="false">IF(ISBLANK(R41),Q41,R41)</f>
        <v>2028</v>
      </c>
      <c r="T41" s="40" t="n">
        <f aca="false">L41*M41</f>
        <v>4956721.5</v>
      </c>
      <c r="U41" s="41" t="n">
        <f aca="false">P41*L41*M41</f>
        <v>3568839.48</v>
      </c>
      <c r="V41" s="32" t="n">
        <f aca="false">P41*G41*M41</f>
        <v>4268496.96</v>
      </c>
      <c r="W41" s="32" t="n">
        <f aca="false">P41*K41*M41</f>
        <v>2869182</v>
      </c>
      <c r="X41" s="32" t="n">
        <f aca="false">IFERROR(U41/(1+Assumptions!$B$6)^(S41-Assumptions!$B$5),0)</f>
        <v>2698555.37240076</v>
      </c>
      <c r="Y41" s="30" t="n">
        <v>1527000</v>
      </c>
      <c r="Z41" s="42" t="n">
        <f aca="false">IF(Y41=0,"",U41/Y41)</f>
        <v>2.33715748526523</v>
      </c>
      <c r="AA41" s="43" t="n">
        <f aca="false">E41*Assumptions!$B$8*M41</f>
        <v>7422066</v>
      </c>
      <c r="AB41" s="45" t="s">
        <v>71</v>
      </c>
    </row>
    <row r="42" customFormat="false" ht="15" hidden="false" customHeight="true" outlineLevel="0" collapsed="false">
      <c r="A42" s="26" t="s">
        <v>165</v>
      </c>
      <c r="B42" s="27" t="s">
        <v>166</v>
      </c>
      <c r="C42" s="28" t="s">
        <v>65</v>
      </c>
      <c r="D42" s="29" t="s">
        <v>118</v>
      </c>
      <c r="E42" s="30" t="n">
        <v>20020000</v>
      </c>
      <c r="F42" s="31" t="n">
        <f aca="false">COUNTIFS(Comps!$A$3:$A$700,$A42,Comps!$C$3:$C$700,"Exit",Comps!$G$3:$G$700,"Y")</f>
        <v>3</v>
      </c>
      <c r="G42" s="32" t="n">
        <f aca="false" t="array" ref="G42:G42">IFERROR(MEDIAN(IF((Comps!$A$3:$A$700=$A42)*(Comps!$C$3:$C$700="Exit")*(Comps!$G$3:$G$700="Y"),Comps!$D$3:$D$700)),0)</f>
        <v>40480000</v>
      </c>
      <c r="H42" s="31" t="n">
        <f aca="false">COUNTIFS(Comps!$A$3:$A$700,$A42,Comps!$C$3:$C$700,"Private",Comps!$G$3:$G$700,"Y")</f>
        <v>2</v>
      </c>
      <c r="I42" s="32" t="n">
        <f aca="false">IFERROR(AVERAGEIFS(Comps!$D$3:$D$700,Comps!$A$3:$A$700,$A42,Comps!$C$3:$C$700,"Private",Comps!$G$3:$G$700,"Y"),0)</f>
        <v>33495000</v>
      </c>
      <c r="J42" s="33" t="n">
        <f aca="false">Assumptions!$B$7</f>
        <v>2.5</v>
      </c>
      <c r="K42" s="32" t="n">
        <f aca="false">I42*J42</f>
        <v>83737500</v>
      </c>
      <c r="L42" s="34" t="n">
        <f aca="false">IF(AND(G42&gt;0,K42&gt;0),(G42+K42)/2,MAX(G42,K42))</f>
        <v>62108750</v>
      </c>
      <c r="M42" s="35" t="n">
        <v>0.0588</v>
      </c>
      <c r="N42" s="36" t="n">
        <f aca="false">IFERROR(INDEX(Assumptions!$D$11:$D$19,MATCH(D42,Assumptions!$A$11:$A$19,0)),0)</f>
        <v>0.2</v>
      </c>
      <c r="O42" s="37"/>
      <c r="P42" s="36" t="n">
        <f aca="false">IFERROR(IF(ISBLANK(O42),N42,O42),0)</f>
        <v>0.2</v>
      </c>
      <c r="Q42" s="38" t="n">
        <f aca="false">IFERROR(Assumptions!$B$5+INDEX(Assumptions!$E$11:$E$19,MATCH(D42,Assumptions!$A$11:$A$19,0)),Assumptions!$B$5)</f>
        <v>2032</v>
      </c>
      <c r="R42" s="39"/>
      <c r="S42" s="31" t="n">
        <f aca="false">IF(ISBLANK(R42),Q42,R42)</f>
        <v>2032</v>
      </c>
      <c r="T42" s="40" t="n">
        <f aca="false">L42*M42</f>
        <v>3651994.5</v>
      </c>
      <c r="U42" s="41" t="n">
        <f aca="false">P42*L42*M42</f>
        <v>730398.9</v>
      </c>
      <c r="V42" s="32" t="n">
        <f aca="false">P42*G42*M42</f>
        <v>476044.8</v>
      </c>
      <c r="W42" s="32" t="n">
        <f aca="false">P42*K42*M42</f>
        <v>984753</v>
      </c>
      <c r="X42" s="32" t="n">
        <f aca="false">IFERROR(U42/(1+Assumptions!$B$6)^(S42-Assumptions!$B$5),0)</f>
        <v>315771.600493445</v>
      </c>
      <c r="Y42" s="30" t="n">
        <v>658000</v>
      </c>
      <c r="Z42" s="42" t="n">
        <f aca="false">IF(Y42=0,"",U42/Y42)</f>
        <v>1.11002872340426</v>
      </c>
      <c r="AA42" s="43" t="n">
        <f aca="false">E42*Assumptions!$B$8*M42</f>
        <v>3531528</v>
      </c>
      <c r="AB42" s="45" t="s">
        <v>119</v>
      </c>
    </row>
    <row r="43" customFormat="false" ht="15" hidden="false" customHeight="true" outlineLevel="0" collapsed="false">
      <c r="A43" s="26" t="s">
        <v>167</v>
      </c>
      <c r="B43" s="27" t="s">
        <v>168</v>
      </c>
      <c r="C43" s="28" t="s">
        <v>65</v>
      </c>
      <c r="D43" s="29" t="s">
        <v>57</v>
      </c>
      <c r="E43" s="30" t="n">
        <v>11590000</v>
      </c>
      <c r="F43" s="31" t="n">
        <f aca="false">COUNTIFS(Comps!$A$3:$A$700,$A43,Comps!$C$3:$C$700,"Exit",Comps!$G$3:$G$700,"Y")</f>
        <v>3</v>
      </c>
      <c r="G43" s="32" t="n">
        <f aca="false" t="array" ref="G43:G43">IFERROR(MEDIAN(IF((Comps!$A$3:$A$700=$A43)*(Comps!$C$3:$C$700="Exit")*(Comps!$G$3:$G$700="Y"),Comps!$D$3:$D$700)),0)</f>
        <v>47210000</v>
      </c>
      <c r="H43" s="31" t="n">
        <f aca="false">COUNTIFS(Comps!$A$3:$A$700,$A43,Comps!$C$3:$C$700,"Private",Comps!$G$3:$G$700,"Y")</f>
        <v>2</v>
      </c>
      <c r="I43" s="32" t="n">
        <f aca="false">IFERROR(AVERAGEIFS(Comps!$D$3:$D$700,Comps!$A$3:$A$700,$A43,Comps!$C$3:$C$700,"Private",Comps!$G$3:$G$700,"Y"),0)</f>
        <v>9875000</v>
      </c>
      <c r="J43" s="33" t="n">
        <f aca="false">Assumptions!$B$7</f>
        <v>2.5</v>
      </c>
      <c r="K43" s="32" t="n">
        <f aca="false">I43*J43</f>
        <v>24687500</v>
      </c>
      <c r="L43" s="34" t="n">
        <f aca="false">IF(AND(G43&gt;0,K43&gt;0),(G43+K43)/2,MAX(G43,K43))</f>
        <v>35948750</v>
      </c>
      <c r="M43" s="35" t="n">
        <v>0.0375</v>
      </c>
      <c r="N43" s="36" t="n">
        <f aca="false">IFERROR(INDEX(Assumptions!$D$11:$D$19,MATCH(D43,Assumptions!$A$11:$A$19,0)),0)</f>
        <v>0.13</v>
      </c>
      <c r="O43" s="37"/>
      <c r="P43" s="36" t="n">
        <f aca="false">IFERROR(IF(ISBLANK(O43),N43,O43),0)</f>
        <v>0.13</v>
      </c>
      <c r="Q43" s="38" t="n">
        <f aca="false">IFERROR(Assumptions!$B$5+INDEX(Assumptions!$E$11:$E$19,MATCH(D43,Assumptions!$A$11:$A$19,0)),Assumptions!$B$5)</f>
        <v>2033</v>
      </c>
      <c r="R43" s="39"/>
      <c r="S43" s="31" t="n">
        <f aca="false">IF(ISBLANK(R43),Q43,R43)</f>
        <v>2033</v>
      </c>
      <c r="T43" s="40" t="n">
        <f aca="false">L43*M43</f>
        <v>1348078.125</v>
      </c>
      <c r="U43" s="41" t="n">
        <f aca="false">P43*L43*M43</f>
        <v>175250.15625</v>
      </c>
      <c r="V43" s="32" t="n">
        <f aca="false">P43*G43*M43</f>
        <v>230148.75</v>
      </c>
      <c r="W43" s="32" t="n">
        <f aca="false">P43*K43*M43</f>
        <v>120351.5625</v>
      </c>
      <c r="X43" s="32" t="n">
        <f aca="false">IFERROR(U43/(1+Assumptions!$B$6)^(S43-Assumptions!$B$5),0)</f>
        <v>65883.0249866845</v>
      </c>
      <c r="Y43" s="30" t="n">
        <v>362000</v>
      </c>
      <c r="Z43" s="42" t="n">
        <f aca="false">IF(Y43=0,"",U43/Y43)</f>
        <v>0.484116453729282</v>
      </c>
      <c r="AA43" s="43" t="n">
        <f aca="false">E43*Assumptions!$B$8*M43</f>
        <v>1303875</v>
      </c>
      <c r="AB43" s="45" t="s">
        <v>58</v>
      </c>
    </row>
    <row r="44" customFormat="false" ht="15" hidden="false" customHeight="true" outlineLevel="0" collapsed="false">
      <c r="A44" s="26" t="s">
        <v>169</v>
      </c>
      <c r="B44" s="27" t="s">
        <v>170</v>
      </c>
      <c r="C44" s="28" t="s">
        <v>56</v>
      </c>
      <c r="D44" s="29" t="s">
        <v>57</v>
      </c>
      <c r="E44" s="30" t="n">
        <v>21300000</v>
      </c>
      <c r="F44" s="31" t="n">
        <f aca="false">COUNTIFS(Comps!$A$3:$A$700,$A44,Comps!$C$3:$C$700,"Exit",Comps!$G$3:$G$700,"Y")</f>
        <v>4</v>
      </c>
      <c r="G44" s="32" t="n">
        <f aca="false" t="array" ref="G44:G44">IFERROR(MEDIAN(IF((Comps!$A$3:$A$700=$A44)*(Comps!$C$3:$C$700="Exit")*(Comps!$G$3:$G$700="Y"),Comps!$D$3:$D$700)),0)</f>
        <v>212085000</v>
      </c>
      <c r="H44" s="31" t="n">
        <f aca="false">COUNTIFS(Comps!$A$3:$A$700,$A44,Comps!$C$3:$C$700,"Private",Comps!$G$3:$G$700,"Y")</f>
        <v>0</v>
      </c>
      <c r="I44" s="32" t="n">
        <f aca="false">IFERROR(AVERAGEIFS(Comps!$D$3:$D$700,Comps!$A$3:$A$700,$A44,Comps!$C$3:$C$700,"Private",Comps!$G$3:$G$700,"Y"),0)</f>
        <v>0</v>
      </c>
      <c r="J44" s="33" t="n">
        <f aca="false">Assumptions!$B$7</f>
        <v>2.5</v>
      </c>
      <c r="K44" s="32" t="n">
        <f aca="false">I44*J44</f>
        <v>0</v>
      </c>
      <c r="L44" s="34" t="n">
        <f aca="false">IF(AND(G44&gt;0,K44&gt;0),(G44+K44)/2,MAX(G44,K44))</f>
        <v>212085000</v>
      </c>
      <c r="M44" s="35" t="n">
        <v>0.055</v>
      </c>
      <c r="N44" s="36" t="n">
        <f aca="false">IFERROR(INDEX(Assumptions!$D$11:$D$19,MATCH(D44,Assumptions!$A$11:$A$19,0)),0)</f>
        <v>0.13</v>
      </c>
      <c r="O44" s="37" t="n">
        <v>0.5</v>
      </c>
      <c r="P44" s="36" t="n">
        <f aca="false">IFERROR(IF(ISBLANK(O44),N44,O44),0)</f>
        <v>0.5</v>
      </c>
      <c r="Q44" s="38" t="n">
        <f aca="false">IFERROR(Assumptions!$B$5+INDEX(Assumptions!$E$11:$E$19,MATCH(D44,Assumptions!$A$11:$A$19,0)),Assumptions!$B$5)</f>
        <v>2033</v>
      </c>
      <c r="R44" s="39"/>
      <c r="S44" s="31" t="n">
        <f aca="false">IF(ISBLANK(R44),Q44,R44)</f>
        <v>2033</v>
      </c>
      <c r="T44" s="40" t="n">
        <f aca="false">L44*M44</f>
        <v>11664675</v>
      </c>
      <c r="U44" s="41" t="n">
        <f aca="false">P44*L44*M44</f>
        <v>5832337.5</v>
      </c>
      <c r="V44" s="32" t="n">
        <f aca="false">P44*G44*M44</f>
        <v>5832337.5</v>
      </c>
      <c r="W44" s="32" t="n">
        <f aca="false">P44*K44*M44</f>
        <v>0</v>
      </c>
      <c r="X44" s="32" t="n">
        <f aca="false">IFERROR(U44/(1+Assumptions!$B$6)^(S44-Assumptions!$B$5),0)</f>
        <v>2192591.69558245</v>
      </c>
      <c r="Y44" s="30" t="n">
        <v>670000</v>
      </c>
      <c r="Z44" s="42" t="n">
        <f aca="false">IF(Y44=0,"",U44/Y44)</f>
        <v>8.70498134328358</v>
      </c>
      <c r="AA44" s="43" t="n">
        <f aca="false">E44*Assumptions!$B$8*M44</f>
        <v>3514500</v>
      </c>
      <c r="AB44" s="45" t="s">
        <v>171</v>
      </c>
    </row>
    <row r="45" customFormat="false" ht="15" hidden="false" customHeight="true" outlineLevel="0" collapsed="false">
      <c r="A45" s="64" t="s">
        <v>172</v>
      </c>
      <c r="T45" s="65" t="n">
        <f aca="false">SUM(T3:T44)</f>
        <v>378744220.916667</v>
      </c>
      <c r="U45" s="65" t="n">
        <f aca="false">SUM(U3:U44)</f>
        <v>191700296.225208</v>
      </c>
      <c r="V45" s="65" t="n">
        <f aca="false">SUM(V3:V44)</f>
        <v>206114003.74</v>
      </c>
      <c r="W45" s="65" t="n">
        <f aca="false">SUM(W3:W44)</f>
        <v>133496033.400417</v>
      </c>
      <c r="X45" s="65" t="n">
        <f aca="false">SUM(X3:X44)</f>
        <v>122746115.760033</v>
      </c>
      <c r="Y45" s="65" t="n">
        <f aca="false">SUM(Y3:Y44)</f>
        <v>79962000</v>
      </c>
      <c r="Z45" s="42" t="n">
        <f aca="false">IF(Y45=0,"",U45/Y45)</f>
        <v>2.39739246423562</v>
      </c>
      <c r="AA45" s="66" t="n">
        <f aca="false">SUM(AA3:AA44)</f>
        <v>425399298</v>
      </c>
      <c r="AC45" s="67"/>
    </row>
    <row r="46" customFormat="false" ht="15" hidden="false" customHeight="true" outlineLevel="0" collapsed="false">
      <c r="P46" s="0" t="s">
        <v>173</v>
      </c>
      <c r="T46" s="68" t="n">
        <f aca="false">T45-T35</f>
        <v>347244220.916667</v>
      </c>
      <c r="U46" s="68" t="n">
        <f aca="false">U45-U35</f>
        <v>160200296.225208</v>
      </c>
      <c r="Y46" s="69" t="n">
        <f aca="false">Y45-Y35</f>
        <v>72409000</v>
      </c>
      <c r="Z46" s="70" t="n">
        <f aca="false">IF(Y46=0,"",U46/Y46)</f>
        <v>2.21243624722353</v>
      </c>
    </row>
    <row r="50" customFormat="false" ht="15" hidden="false" customHeight="true" outlineLevel="0" collapsed="false">
      <c r="M50" s="71"/>
    </row>
  </sheetData>
  <mergeCells count="1">
    <mergeCell ref="A1:Z1"/>
  </mergeCells>
  <dataValidations count="2">
    <dataValidation allowBlank="false" errorStyle="stop" operator="between" showDropDown="false" showErrorMessage="false" showInputMessage="false" sqref="C3:C44" type="list">
      <formula1>"Bio tech,Med tech,Health Tech"</formula1>
      <formula2>0</formula2>
    </dataValidation>
    <dataValidation allowBlank="true" errorStyle="stop" operator="between" showDropDown="false" showErrorMessage="false" showInputMessage="false" sqref="D3:D34 D36:D44" type="list">
      <formula1>"S1,S2,S3,S4,S5,S6,S7,D,X"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50" activeCellId="0" sqref="D50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.5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1" style="0" width="15"/>
    <col collapsed="false" customWidth="true" hidden="false" outlineLevel="0" max="13" min="13" style="22" width="16.33"/>
    <col collapsed="false" customWidth="true" hidden="true" outlineLevel="0" max="14" min="14" style="0" width="13.5"/>
    <col collapsed="false" customWidth="true" hidden="true" outlineLevel="0" max="15" min="15" style="0" width="16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true" outlineLevel="0" max="19" min="18" style="0" width="9"/>
    <col collapsed="false" customWidth="true" hidden="false" outlineLevel="0" max="20" min="20" style="0" width="16.5"/>
    <col collapsed="false" customWidth="true" hidden="false" outlineLevel="0" max="21" min="21" style="0" width="20.51"/>
    <col collapsed="false" customWidth="true" hidden="true" outlineLevel="0" max="22" min="22" style="0" width="14"/>
    <col collapsed="false" customWidth="true" hidden="true" outlineLevel="0" max="23" min="23" style="0" width="12.33"/>
    <col collapsed="false" customWidth="true" hidden="false" outlineLevel="0" max="25" min="24" style="0" width="13"/>
    <col collapsed="false" customWidth="true" hidden="false" outlineLevel="0" max="26" min="26" style="0" width="12.16"/>
    <col collapsed="false" customWidth="true" hidden="true" outlineLevel="0" max="27" min="27" style="0" width="13"/>
    <col collapsed="false" customWidth="true" hidden="true" outlineLevel="0" max="28" min="28" style="0" width="34"/>
    <col collapsed="false" customWidth="true" hidden="false" outlineLevel="0" max="29" min="29" style="0" width="19.33"/>
    <col collapsed="false" customWidth="true" hidden="false" outlineLevel="0" max="30" min="30" style="0" width="26.16"/>
    <col collapsed="false" customWidth="true" hidden="false" outlineLevel="0" max="31" min="31" style="0" width="12.16"/>
    <col collapsed="false" customWidth="true" hidden="false" outlineLevel="0" max="32" min="32" style="0" width="8.83"/>
    <col collapsed="false" customWidth="true" hidden="false" outlineLevel="0" max="33" min="33" style="0" width="17.67"/>
  </cols>
  <sheetData>
    <row r="1" customFormat="false" ht="15" hidden="false" customHeight="true" outlineLevel="0" collapsed="false">
      <c r="A1" s="23" t="s">
        <v>174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36" hidden="false" customHeight="true" outlineLevel="0" collapsed="false">
      <c r="A2" s="24" t="s">
        <v>26</v>
      </c>
      <c r="B2" s="24" t="s">
        <v>27</v>
      </c>
      <c r="C2" s="24" t="s">
        <v>28</v>
      </c>
      <c r="D2" s="24" t="s">
        <v>29</v>
      </c>
      <c r="E2" s="24" t="s">
        <v>175</v>
      </c>
      <c r="F2" s="24" t="s">
        <v>31</v>
      </c>
      <c r="G2" s="24" t="s">
        <v>176</v>
      </c>
      <c r="H2" s="24" t="s">
        <v>33</v>
      </c>
      <c r="I2" s="24" t="s">
        <v>177</v>
      </c>
      <c r="J2" s="24" t="s">
        <v>35</v>
      </c>
      <c r="K2" s="24" t="s">
        <v>178</v>
      </c>
      <c r="L2" s="24" t="s">
        <v>179</v>
      </c>
      <c r="M2" s="25" t="s">
        <v>38</v>
      </c>
      <c r="N2" s="24" t="s">
        <v>39</v>
      </c>
      <c r="O2" s="24" t="s">
        <v>40</v>
      </c>
      <c r="P2" s="24" t="s">
        <v>41</v>
      </c>
      <c r="Q2" s="24" t="s">
        <v>42</v>
      </c>
      <c r="R2" s="24" t="s">
        <v>43</v>
      </c>
      <c r="S2" s="24" t="s">
        <v>44</v>
      </c>
      <c r="T2" s="24" t="s">
        <v>45</v>
      </c>
      <c r="U2" s="24" t="s">
        <v>180</v>
      </c>
      <c r="V2" s="24" t="s">
        <v>47</v>
      </c>
      <c r="W2" s="24" t="s">
        <v>48</v>
      </c>
      <c r="X2" s="24" t="s">
        <v>49</v>
      </c>
      <c r="Y2" s="24" t="s">
        <v>50</v>
      </c>
      <c r="Z2" s="24" t="s">
        <v>51</v>
      </c>
      <c r="AA2" s="24" t="s">
        <v>52</v>
      </c>
      <c r="AB2" s="24" t="s">
        <v>53</v>
      </c>
      <c r="AC2" s="24" t="s">
        <v>181</v>
      </c>
      <c r="AD2" s="24" t="s">
        <v>182</v>
      </c>
      <c r="AE2" s="24" t="s">
        <v>183</v>
      </c>
      <c r="AF2" s="24" t="s">
        <v>184</v>
      </c>
      <c r="AG2" s="72"/>
    </row>
    <row r="3" customFormat="false" ht="15" hidden="false" customHeight="true" outlineLevel="0" collapsed="false">
      <c r="A3" s="26" t="s">
        <v>54</v>
      </c>
      <c r="B3" s="27" t="s">
        <v>55</v>
      </c>
      <c r="C3" s="28" t="s">
        <v>56</v>
      </c>
      <c r="D3" s="29" t="s">
        <v>57</v>
      </c>
      <c r="E3" s="30" t="n">
        <v>15790000</v>
      </c>
      <c r="F3" s="31" t="n">
        <f aca="false">COUNTIFS(Comps!$A$3:$A$700,$A3,Comps!$C$3:$C$700,"Exit",Comps!$G$3:$G$700,"Y")</f>
        <v>1</v>
      </c>
      <c r="G3" s="32" t="n">
        <f aca="false" t="array" ref="G3:G3">IFERROR(MEDIAN(IF((Comps!$A$3:$A$700=$A3)*(Comps!$C$3:$C$700="Exit")*(Comps!$G$3:$G$700="Y"),Comps!$D$3:$D$700)),0)</f>
        <v>38930000</v>
      </c>
      <c r="H3" s="31" t="n">
        <f aca="false">COUNTIFS(Comps!$A$3:$A$700,$A3,Comps!$C$3:$C$700,"Private",Comps!$G$3:$G$700,"Y")</f>
        <v>4</v>
      </c>
      <c r="I3" s="32" t="n">
        <f aca="false">IFERROR(AVERAGEIFS(Comps!$D$3:$D$700,Comps!$A$3:$A$700,$A3,Comps!$C$3:$C$700,"Private",Comps!$G$3:$G$700,"Y"),0)</f>
        <v>22752500</v>
      </c>
      <c r="J3" s="33" t="n">
        <f aca="false">Assumptions!$B$7</f>
        <v>2.5</v>
      </c>
      <c r="K3" s="32" t="n">
        <f aca="false">I3*J3</f>
        <v>56881250</v>
      </c>
      <c r="L3" s="41" t="n">
        <f aca="false">IF(AND(G3&gt;0,K3&gt;0),(G3+K3)/2,MAX(G3,K3))</f>
        <v>47905625</v>
      </c>
      <c r="M3" s="35" t="n">
        <v>0.0732</v>
      </c>
      <c r="N3" s="36" t="n">
        <f aca="false">IFERROR(INDEX(Assumptions!$D$11:$D$19,MATCH(D3,Assumptions!$A$11:$A$19,0)),0)</f>
        <v>0.13</v>
      </c>
      <c r="O3" s="37"/>
      <c r="P3" s="36" t="n">
        <f aca="false">IFERROR(IF(ISBLANK(O3),N3,O3),0)</f>
        <v>0.13</v>
      </c>
      <c r="Q3" s="38" t="n">
        <f aca="false">IFERROR(Assumptions!$B$5+INDEX(Assumptions!$E$11:$E$19,MATCH(D3,Assumptions!$A$11:$A$19,0)),Assumptions!$B$5)</f>
        <v>2033</v>
      </c>
      <c r="R3" s="39"/>
      <c r="S3" s="31" t="n">
        <f aca="false">IF(ISBLANK(R3),Q3,R3)</f>
        <v>2033</v>
      </c>
      <c r="T3" s="40" t="n">
        <f aca="false">L3*M3</f>
        <v>3506691.75</v>
      </c>
      <c r="U3" s="41" t="n">
        <f aca="false">P3*L3*M3</f>
        <v>455869.9275</v>
      </c>
      <c r="V3" s="32" t="n">
        <f aca="false">P3*G3*M3</f>
        <v>370457.88</v>
      </c>
      <c r="W3" s="32" t="n">
        <f aca="false">P3*K3*M3</f>
        <v>541281.975</v>
      </c>
      <c r="X3" s="32" t="n">
        <f aca="false">IFERROR(U3/(1+Assumptions!$B$6)^(S3-Assumptions!$B$5),0)</f>
        <v>171378.391134305</v>
      </c>
      <c r="Y3" s="30" t="n">
        <v>612000</v>
      </c>
      <c r="Z3" s="42" t="n">
        <f aca="false">IF(Y3=0,"",U3/Y3)</f>
        <v>0.74488550245098</v>
      </c>
      <c r="AA3" s="43" t="n">
        <f aca="false">E3*Assumptions!$B$8*M3</f>
        <v>3467484</v>
      </c>
      <c r="AB3" s="44" t="s">
        <v>58</v>
      </c>
      <c r="AC3" s="73" t="n">
        <f aca="false">IFERROR(INDEX(Assumptions!$F$11:$F$19,MATCH(D3,Assumptions!$A$11:$A$19,0)),0)</f>
        <v>2</v>
      </c>
      <c r="AD3" s="30" t="n">
        <f aca="false">Y3*AC3</f>
        <v>1224000</v>
      </c>
      <c r="AE3" s="30" t="n">
        <f aca="false">Y3+AD3</f>
        <v>1836000</v>
      </c>
      <c r="AF3" s="42" t="n">
        <f aca="false">IF(AE3=0,"",U3/AE3)</f>
        <v>0.24829516748366</v>
      </c>
      <c r="AG3" s="30"/>
    </row>
    <row r="4" customFormat="false" ht="15" hidden="false" customHeight="true" outlineLevel="0" collapsed="false">
      <c r="A4" s="26" t="s">
        <v>59</v>
      </c>
      <c r="B4" s="27" t="s">
        <v>60</v>
      </c>
      <c r="C4" s="28" t="s">
        <v>56</v>
      </c>
      <c r="D4" s="29" t="s">
        <v>61</v>
      </c>
      <c r="E4" s="30" t="n">
        <v>0</v>
      </c>
      <c r="F4" s="31" t="n">
        <f aca="false">COUNTIFS(Comps!$A$3:$A$700,$A4,Comps!$C$3:$C$700,"Exit",Comps!$G$3:$G$700,"Y")</f>
        <v>0</v>
      </c>
      <c r="G4" s="32" t="n">
        <f aca="false" t="array" ref="G4:G4">IFERROR(MEDIAN(IF((Comps!$A$3:$A$700=$A4)*(Comps!$C$3:$C$700="Exit")*(Comps!$G$3:$G$700="Y"),Comps!$D$3:$D$700)),0)</f>
        <v>0</v>
      </c>
      <c r="H4" s="31" t="n">
        <f aca="false">COUNTIFS(Comps!$A$3:$A$700,$A4,Comps!$C$3:$C$700,"Private",Comps!$G$3:$G$700,"Y")</f>
        <v>0</v>
      </c>
      <c r="I4" s="32" t="n">
        <f aca="false">IFERROR(AVERAGEIFS(Comps!$D$3:$D$700,Comps!$A$3:$A$700,$A4,Comps!$C$3:$C$700,"Private",Comps!$G$3:$G$700,"Y"),0)</f>
        <v>0</v>
      </c>
      <c r="J4" s="33" t="n">
        <f aca="false">Assumptions!$B$7</f>
        <v>2.5</v>
      </c>
      <c r="K4" s="32" t="n">
        <f aca="false">I4*J4</f>
        <v>0</v>
      </c>
      <c r="L4" s="41" t="n">
        <f aca="false">IF(AND(G4&gt;0,K4&gt;0),(G4+K4)/2,MAX(G4,K4))</f>
        <v>0</v>
      </c>
      <c r="M4" s="35" t="n">
        <v>0.0426</v>
      </c>
      <c r="N4" s="36" t="n">
        <f aca="false">IFERROR(INDEX(Assumptions!$D$11:$D$19,MATCH(D4,Assumptions!$A$11:$A$19,0)),0)</f>
        <v>0.03</v>
      </c>
      <c r="O4" s="37"/>
      <c r="P4" s="36" t="n">
        <f aca="false">IFERROR(IF(ISBLANK(O4),N4,O4),0)</f>
        <v>0.03</v>
      </c>
      <c r="Q4" s="38" t="n">
        <f aca="false">IFERROR(Assumptions!$B$5+INDEX(Assumptions!$E$11:$E$19,MATCH(D4,Assumptions!$A$11:$A$19,0)),Assumptions!$B$5)</f>
        <v>2027</v>
      </c>
      <c r="R4" s="39"/>
      <c r="S4" s="31" t="n">
        <f aca="false">IF(ISBLANK(R4),Q4,R4)</f>
        <v>2027</v>
      </c>
      <c r="T4" s="40" t="n">
        <f aca="false">L4*M4</f>
        <v>0</v>
      </c>
      <c r="U4" s="41" t="n">
        <f aca="false">P4*L4*M4</f>
        <v>0</v>
      </c>
      <c r="V4" s="32" t="n">
        <f aca="false">P4*G4*M4</f>
        <v>0</v>
      </c>
      <c r="W4" s="32" t="n">
        <f aca="false">P4*K4*M4</f>
        <v>0</v>
      </c>
      <c r="X4" s="32" t="n">
        <f aca="false">IFERROR(U4/(1+Assumptions!$B$6)^(S4-Assumptions!$B$5),0)</f>
        <v>0</v>
      </c>
      <c r="Y4" s="30" t="n">
        <v>178000</v>
      </c>
      <c r="Z4" s="42" t="n">
        <f aca="false">IF(Y4=0,"",U4/Y4)</f>
        <v>0</v>
      </c>
      <c r="AA4" s="43" t="n">
        <f aca="false">E4*Assumptions!$B$8*M4</f>
        <v>0</v>
      </c>
      <c r="AB4" s="44" t="s">
        <v>62</v>
      </c>
      <c r="AC4" s="73" t="n">
        <f aca="false">IFERROR(INDEX(Assumptions!$F$11:$F$19,MATCH(D4,Assumptions!$A$11:$A$19,0)),0)</f>
        <v>0</v>
      </c>
      <c r="AD4" s="30" t="n">
        <f aca="false">Y4*AC4</f>
        <v>0</v>
      </c>
      <c r="AE4" s="30" t="n">
        <f aca="false">Y4+AD4</f>
        <v>178000</v>
      </c>
      <c r="AF4" s="42" t="n">
        <f aca="false">IF(AE4=0,"",U4/AE4)</f>
        <v>0</v>
      </c>
      <c r="AG4" s="30"/>
    </row>
    <row r="5" customFormat="false" ht="15" hidden="false" customHeight="true" outlineLevel="0" collapsed="false">
      <c r="A5" s="26" t="s">
        <v>63</v>
      </c>
      <c r="B5" s="27" t="s">
        <v>64</v>
      </c>
      <c r="C5" s="28" t="s">
        <v>65</v>
      </c>
      <c r="D5" s="29" t="s">
        <v>66</v>
      </c>
      <c r="E5" s="30" t="n">
        <v>55490000</v>
      </c>
      <c r="F5" s="31" t="n">
        <f aca="false">COUNTIFS(Comps!$A$3:$A$700,$A5,Comps!$C$3:$C$700,"Exit",Comps!$G$3:$G$700,"Y")</f>
        <v>5</v>
      </c>
      <c r="G5" s="32" t="n">
        <f aca="false" t="array" ref="G5:G5">IFERROR(MEDIAN(IF((Comps!$A$3:$A$700=$A5)*(Comps!$C$3:$C$700="Exit")*(Comps!$G$3:$G$700="Y"),Comps!$D$3:$D$700)),0)</f>
        <v>163660000</v>
      </c>
      <c r="H5" s="31" t="n">
        <f aca="false">COUNTIFS(Comps!$A$3:$A$700,$A5,Comps!$C$3:$C$700,"Private",Comps!$G$3:$G$700,"Y")</f>
        <v>4</v>
      </c>
      <c r="I5" s="32" t="n">
        <f aca="false">IFERROR(AVERAGEIFS(Comps!$D$3:$D$700,Comps!$A$3:$A$700,$A5,Comps!$C$3:$C$700,"Private",Comps!$G$3:$G$700,"Y"),0)</f>
        <v>62277500</v>
      </c>
      <c r="J5" s="33" t="n">
        <f aca="false">Assumptions!$B$7</f>
        <v>2.5</v>
      </c>
      <c r="K5" s="32" t="n">
        <f aca="false">I5*J5</f>
        <v>155693750</v>
      </c>
      <c r="L5" s="41" t="n">
        <f aca="false">IF(AND(G5&gt;0,K5&gt;0),(G5+K5)/2,MAX(G5,K5))</f>
        <v>159676875</v>
      </c>
      <c r="M5" s="35" t="n">
        <v>0.0779</v>
      </c>
      <c r="N5" s="36" t="n">
        <f aca="false">IFERROR(INDEX(Assumptions!$D$11:$D$19,MATCH(D5,Assumptions!$A$11:$A$19,0)),0)</f>
        <v>0.3</v>
      </c>
      <c r="O5" s="37"/>
      <c r="P5" s="36" t="n">
        <f aca="false">IFERROR(IF(ISBLANK(O5),N5,O5),0)</f>
        <v>0.3</v>
      </c>
      <c r="Q5" s="38" t="n">
        <f aca="false">IFERROR(Assumptions!$B$5+INDEX(Assumptions!$E$11:$E$19,MATCH(D5,Assumptions!$A$11:$A$19,0)),Assumptions!$B$5)</f>
        <v>2031</v>
      </c>
      <c r="R5" s="39"/>
      <c r="S5" s="31" t="n">
        <f aca="false">IF(ISBLANK(R5),Q5,R5)</f>
        <v>2031</v>
      </c>
      <c r="T5" s="40" t="n">
        <f aca="false">L5*M5</f>
        <v>12438828.5625</v>
      </c>
      <c r="U5" s="41" t="n">
        <f aca="false">P5*L5*M5</f>
        <v>3731648.56875</v>
      </c>
      <c r="V5" s="32" t="n">
        <f aca="false">P5*G5*M5</f>
        <v>3824734.2</v>
      </c>
      <c r="W5" s="32" t="n">
        <f aca="false">P5*K5*M5</f>
        <v>3638562.9375</v>
      </c>
      <c r="X5" s="32" t="n">
        <f aca="false">IFERROR(U5/(1+Assumptions!$B$6)^(S5-Assumptions!$B$5),0)</f>
        <v>1855288.85269166</v>
      </c>
      <c r="Y5" s="30" t="n">
        <v>3753000</v>
      </c>
      <c r="Z5" s="42" t="n">
        <f aca="false">IF(Y5=0,"",U5/Y5)</f>
        <v>0.994310836330935</v>
      </c>
      <c r="AA5" s="43" t="n">
        <f aca="false">E5*Assumptions!$B$8*M5</f>
        <v>12968013</v>
      </c>
      <c r="AB5" s="44" t="s">
        <v>67</v>
      </c>
      <c r="AC5" s="73" t="n">
        <f aca="false">IFERROR(INDEX(Assumptions!$F$11:$F$19,MATCH(D5,Assumptions!$A$11:$A$19,0)),0)</f>
        <v>1.5</v>
      </c>
      <c r="AD5" s="30" t="n">
        <f aca="false">Y5*AC5</f>
        <v>5629500</v>
      </c>
      <c r="AE5" s="30" t="n">
        <f aca="false">Y5+AD5</f>
        <v>9382500</v>
      </c>
      <c r="AF5" s="42" t="n">
        <f aca="false">IF(AE5=0,"",U5/AE5)</f>
        <v>0.397724334532374</v>
      </c>
      <c r="AG5" s="30"/>
    </row>
    <row r="6" customFormat="false" ht="15" hidden="false" customHeight="true" outlineLevel="0" collapsed="false">
      <c r="A6" s="26" t="s">
        <v>68</v>
      </c>
      <c r="B6" s="27" t="s">
        <v>69</v>
      </c>
      <c r="C6" s="28" t="s">
        <v>65</v>
      </c>
      <c r="D6" s="29" t="s">
        <v>70</v>
      </c>
      <c r="E6" s="30" t="n">
        <v>21310000</v>
      </c>
      <c r="F6" s="31" t="n">
        <f aca="false">COUNTIFS(Comps!$A$3:$A$700,$A6,Comps!$C$3:$C$700,"Exit",Comps!$G$3:$G$700,"Y")</f>
        <v>1</v>
      </c>
      <c r="G6" s="32" t="n">
        <f aca="false" t="array" ref="G6:G6">IFERROR(MEDIAN(IF((Comps!$A$3:$A$700=$A6)*(Comps!$C$3:$C$700="Exit")*(Comps!$G$3:$G$700="Y"),Comps!$D$3:$D$700)),0)</f>
        <v>29240000</v>
      </c>
      <c r="H6" s="31" t="n">
        <f aca="false">COUNTIFS(Comps!$A$3:$A$700,$A6,Comps!$C$3:$C$700,"Private",Comps!$G$3:$G$700,"Y")</f>
        <v>2</v>
      </c>
      <c r="I6" s="32" t="n">
        <f aca="false">IFERROR(AVERAGEIFS(Comps!$D$3:$D$700,Comps!$A$3:$A$700,$A6,Comps!$C$3:$C$700,"Private",Comps!$G$3:$G$700,"Y"),0)</f>
        <v>32275000</v>
      </c>
      <c r="J6" s="33" t="n">
        <f aca="false">Assumptions!$B$7</f>
        <v>2.5</v>
      </c>
      <c r="K6" s="32" t="n">
        <f aca="false">I6*J6</f>
        <v>80687500</v>
      </c>
      <c r="L6" s="41" t="n">
        <f aca="false">IF(AND(G6&gt;0,K6&gt;0),(G6+K6)/2,MAX(G6,K6))</f>
        <v>54963750</v>
      </c>
      <c r="M6" s="35" t="n">
        <v>0.1025</v>
      </c>
      <c r="N6" s="36" t="n">
        <f aca="false">IFERROR(INDEX(Assumptions!$D$11:$D$19,MATCH(D6,Assumptions!$A$11:$A$19,0)),0)</f>
        <v>0.72</v>
      </c>
      <c r="O6" s="37"/>
      <c r="P6" s="36" t="n">
        <f aca="false">IFERROR(IF(ISBLANK(O6),N6,O6),0)</f>
        <v>0.72</v>
      </c>
      <c r="Q6" s="38" t="n">
        <f aca="false">IFERROR(Assumptions!$B$5+INDEX(Assumptions!$E$11:$E$19,MATCH(D6,Assumptions!$A$11:$A$19,0)),Assumptions!$B$5)</f>
        <v>2028</v>
      </c>
      <c r="R6" s="39"/>
      <c r="S6" s="31" t="n">
        <f aca="false">IF(ISBLANK(R6),Q6,R6)</f>
        <v>2028</v>
      </c>
      <c r="T6" s="40" t="n">
        <f aca="false">L6*M6</f>
        <v>5633784.375</v>
      </c>
      <c r="U6" s="41" t="n">
        <f aca="false">P6*L6*M6</f>
        <v>4056324.75</v>
      </c>
      <c r="V6" s="32" t="n">
        <f aca="false">P6*G6*M6</f>
        <v>2157912</v>
      </c>
      <c r="W6" s="32" t="n">
        <f aca="false">P6*K6*M6</f>
        <v>5954737.5</v>
      </c>
      <c r="X6" s="32" t="n">
        <f aca="false">IFERROR(U6/(1+Assumptions!$B$6)^(S6-Assumptions!$B$5),0)</f>
        <v>3067164.27221172</v>
      </c>
      <c r="Y6" s="30" t="n">
        <v>906000</v>
      </c>
      <c r="Z6" s="42" t="n">
        <f aca="false">IF(Y6=0,"",U6/Y6)</f>
        <v>4.47717963576159</v>
      </c>
      <c r="AA6" s="43" t="n">
        <f aca="false">E6*Assumptions!$B$8*M6</f>
        <v>6552825</v>
      </c>
      <c r="AB6" s="44" t="s">
        <v>71</v>
      </c>
      <c r="AC6" s="73" t="n">
        <f aca="false">IFERROR(INDEX(Assumptions!$F$11:$F$19,MATCH(D6,Assumptions!$A$11:$A$19,0)),0)</f>
        <v>0.5</v>
      </c>
      <c r="AD6" s="30" t="n">
        <f aca="false">Y6*AC6</f>
        <v>453000</v>
      </c>
      <c r="AE6" s="30" t="n">
        <f aca="false">Y6+AD6</f>
        <v>1359000</v>
      </c>
      <c r="AF6" s="42" t="n">
        <f aca="false">IF(AE6=0,"",U6/AE6)</f>
        <v>2.98478642384106</v>
      </c>
      <c r="AG6" s="30"/>
    </row>
    <row r="7" customFormat="false" ht="15" hidden="false" customHeight="true" outlineLevel="0" collapsed="false">
      <c r="A7" s="26" t="s">
        <v>72</v>
      </c>
      <c r="B7" s="27" t="s">
        <v>73</v>
      </c>
      <c r="C7" s="28" t="s">
        <v>56</v>
      </c>
      <c r="D7" s="29" t="s">
        <v>70</v>
      </c>
      <c r="E7" s="30" t="n">
        <v>36460000</v>
      </c>
      <c r="F7" s="31" t="n">
        <f aca="false">COUNTIFS(Comps!$A$3:$A$700,$A7,Comps!$C$3:$C$700,"Exit",Comps!$G$3:$G$700,"Y")</f>
        <v>2</v>
      </c>
      <c r="G7" s="32" t="n">
        <f aca="false" t="array" ref="G7:G7">IFERROR(MEDIAN(IF((Comps!$A$3:$A$700=$A7)*(Comps!$C$3:$C$700="Exit")*(Comps!$G$3:$G$700="Y"),Comps!$D$3:$D$700)),0)</f>
        <v>62685000</v>
      </c>
      <c r="H7" s="31" t="n">
        <f aca="false">COUNTIFS(Comps!$A$3:$A$700,$A7,Comps!$C$3:$C$700,"Private",Comps!$G$3:$G$700,"Y")</f>
        <v>2</v>
      </c>
      <c r="I7" s="32" t="n">
        <f aca="false">IFERROR(AVERAGEIFS(Comps!$D$3:$D$700,Comps!$A$3:$A$700,$A7,Comps!$C$3:$C$700,"Private",Comps!$G$3:$G$700,"Y"),0)</f>
        <v>115875000</v>
      </c>
      <c r="J7" s="33" t="n">
        <v>1</v>
      </c>
      <c r="K7" s="32" t="n">
        <f aca="false">I7*J7</f>
        <v>115875000</v>
      </c>
      <c r="L7" s="41" t="n">
        <f aca="false">IF(AND(G7&gt;0,K7&gt;0),(G7+K7)/2,MAX(G7,K7))</f>
        <v>89280000</v>
      </c>
      <c r="M7" s="35" t="n">
        <v>0.0698</v>
      </c>
      <c r="N7" s="36" t="n">
        <f aca="false">IFERROR(INDEX(Assumptions!$D$11:$D$19,MATCH(D7,Assumptions!$A$11:$A$19,0)),0)</f>
        <v>0.72</v>
      </c>
      <c r="O7" s="37"/>
      <c r="P7" s="36" t="n">
        <f aca="false">IFERROR(IF(ISBLANK(O7),N7,O7),0)</f>
        <v>0.72</v>
      </c>
      <c r="Q7" s="38" t="n">
        <f aca="false">IFERROR(Assumptions!$B$5+INDEX(Assumptions!$E$11:$E$19,MATCH(D7,Assumptions!$A$11:$A$19,0)),Assumptions!$B$5)</f>
        <v>2028</v>
      </c>
      <c r="R7" s="39"/>
      <c r="S7" s="31" t="n">
        <f aca="false">IF(ISBLANK(R7),Q7,R7)</f>
        <v>2028</v>
      </c>
      <c r="T7" s="40" t="n">
        <f aca="false">L7*M7</f>
        <v>6231744</v>
      </c>
      <c r="U7" s="41" t="n">
        <f aca="false">P7*L7*M7</f>
        <v>4486855.68</v>
      </c>
      <c r="V7" s="32" t="n">
        <f aca="false">P7*G7*M7</f>
        <v>3150297.36</v>
      </c>
      <c r="W7" s="32" t="n">
        <f aca="false">P7*K7*M7</f>
        <v>5823414</v>
      </c>
      <c r="X7" s="32" t="n">
        <f aca="false">IFERROR(U7/(1+Assumptions!$B$6)^(S7-Assumptions!$B$5),0)</f>
        <v>3392707.50850662</v>
      </c>
      <c r="Y7" s="30" t="n">
        <v>1337000</v>
      </c>
      <c r="Z7" s="42" t="n">
        <f aca="false">IF(Y7=0,"",U7/Y7)</f>
        <v>3.35591299925206</v>
      </c>
      <c r="AA7" s="43" t="n">
        <f aca="false">E7*Assumptions!$B$8*M7</f>
        <v>7634724</v>
      </c>
      <c r="AB7" s="44" t="s">
        <v>74</v>
      </c>
      <c r="AC7" s="73" t="n">
        <f aca="false">IFERROR(INDEX(Assumptions!$F$11:$F$19,MATCH(D7,Assumptions!$A$11:$A$19,0)),0)</f>
        <v>0.5</v>
      </c>
      <c r="AD7" s="30" t="n">
        <f aca="false">Y7*AC7</f>
        <v>668500</v>
      </c>
      <c r="AE7" s="30" t="n">
        <f aca="false">Y7+AD7</f>
        <v>2005500</v>
      </c>
      <c r="AF7" s="42" t="n">
        <f aca="false">IF(AE7=0,"",U7/AE7)</f>
        <v>2.2372753328347</v>
      </c>
      <c r="AG7" s="30"/>
    </row>
    <row r="8" customFormat="false" ht="15" hidden="false" customHeight="true" outlineLevel="0" collapsed="false">
      <c r="A8" s="26" t="s">
        <v>75</v>
      </c>
      <c r="B8" s="27" t="s">
        <v>76</v>
      </c>
      <c r="C8" s="28" t="s">
        <v>65</v>
      </c>
      <c r="D8" s="29" t="s">
        <v>57</v>
      </c>
      <c r="E8" s="30" t="n">
        <v>59680000</v>
      </c>
      <c r="F8" s="31" t="n">
        <f aca="false">COUNTIFS(Comps!$A$3:$A$700,$A8,Comps!$C$3:$C$700,"Exit",Comps!$G$3:$G$700,"Y")</f>
        <v>1</v>
      </c>
      <c r="G8" s="32" t="n">
        <f aca="false" t="array" ref="G8:G8">IFERROR(MEDIAN(IF((Comps!$A$3:$A$700=$A8)*(Comps!$C$3:$C$700="Exit")*(Comps!$G$3:$G$700="Y"),Comps!$D$3:$D$700)),0)</f>
        <v>378280000</v>
      </c>
      <c r="H8" s="31" t="n">
        <f aca="false">COUNTIFS(Comps!$A$3:$A$700,$A8,Comps!$C$3:$C$700,"Private",Comps!$G$3:$G$700,"Y")</f>
        <v>1</v>
      </c>
      <c r="I8" s="32" t="n">
        <f aca="false">IFERROR(AVERAGEIFS(Comps!$D$3:$D$700,Comps!$A$3:$A$700,$A8,Comps!$C$3:$C$700,"Private",Comps!$G$3:$G$700,"Y"),0)</f>
        <v>45840000</v>
      </c>
      <c r="J8" s="33" t="n">
        <f aca="false">Assumptions!$B$7</f>
        <v>2.5</v>
      </c>
      <c r="K8" s="32" t="n">
        <f aca="false">I8*J8</f>
        <v>114600000</v>
      </c>
      <c r="L8" s="41" t="n">
        <f aca="false">IF(AND(G8&gt;0,K8&gt;0),(G8+K8)/2,MAX(G8,K8))</f>
        <v>246440000</v>
      </c>
      <c r="M8" s="35" t="n">
        <v>0.0315</v>
      </c>
      <c r="N8" s="36" t="n">
        <f aca="false">IFERROR(INDEX(Assumptions!$D$11:$D$19,MATCH(D8,Assumptions!$A$11:$A$19,0)),0)</f>
        <v>0.13</v>
      </c>
      <c r="O8" s="37"/>
      <c r="P8" s="36" t="n">
        <f aca="false">IFERROR(IF(ISBLANK(O8),N8,O8),0)</f>
        <v>0.13</v>
      </c>
      <c r="Q8" s="38" t="n">
        <f aca="false">IFERROR(Assumptions!$B$5+INDEX(Assumptions!$E$11:$E$19,MATCH(D8,Assumptions!$A$11:$A$19,0)),Assumptions!$B$5)</f>
        <v>2033</v>
      </c>
      <c r="R8" s="39"/>
      <c r="S8" s="31" t="n">
        <f aca="false">IF(ISBLANK(R8),Q8,R8)</f>
        <v>2033</v>
      </c>
      <c r="T8" s="40" t="n">
        <f aca="false">L8*M8</f>
        <v>7762860</v>
      </c>
      <c r="U8" s="41" t="n">
        <f aca="false">P8*L8*M8</f>
        <v>1009171.8</v>
      </c>
      <c r="V8" s="32" t="n">
        <f aca="false">P8*G8*M8</f>
        <v>1549056.6</v>
      </c>
      <c r="W8" s="32" t="n">
        <f aca="false">P8*K8*M8</f>
        <v>469287</v>
      </c>
      <c r="X8" s="32" t="n">
        <f aca="false">IFERROR(U8/(1+Assumptions!$B$6)^(S8-Assumptions!$B$5),0)</f>
        <v>379385.059265859</v>
      </c>
      <c r="Y8" s="30" t="n">
        <v>1648000</v>
      </c>
      <c r="Z8" s="42" t="n">
        <f aca="false">IF(Y8=0,"",U8/Y8)</f>
        <v>0.612361529126214</v>
      </c>
      <c r="AA8" s="43" t="n">
        <f aca="false">E8*Assumptions!$B$8*M8</f>
        <v>5639760</v>
      </c>
      <c r="AB8" s="44" t="s">
        <v>58</v>
      </c>
      <c r="AC8" s="73" t="n">
        <f aca="false">IFERROR(INDEX(Assumptions!$F$11:$F$19,MATCH(D8,Assumptions!$A$11:$A$19,0)),0)</f>
        <v>2</v>
      </c>
      <c r="AD8" s="30" t="n">
        <f aca="false">Y8*AC8</f>
        <v>3296000</v>
      </c>
      <c r="AE8" s="30" t="n">
        <f aca="false">Y8+AD8</f>
        <v>4944000</v>
      </c>
      <c r="AF8" s="42" t="n">
        <f aca="false">IF(AE8=0,"",U8/AE8)</f>
        <v>0.204120509708738</v>
      </c>
      <c r="AG8" s="74"/>
    </row>
    <row r="9" customFormat="false" ht="15" hidden="false" customHeight="true" outlineLevel="0" collapsed="false">
      <c r="A9" s="26" t="s">
        <v>77</v>
      </c>
      <c r="B9" s="27" t="s">
        <v>78</v>
      </c>
      <c r="C9" s="28" t="s">
        <v>79</v>
      </c>
      <c r="D9" s="29" t="s">
        <v>66</v>
      </c>
      <c r="E9" s="30" t="n">
        <v>38110000</v>
      </c>
      <c r="F9" s="31" t="n">
        <f aca="false">COUNTIFS(Comps!$A$3:$A$700,$A9,Comps!$C$3:$C$700,"Exit",Comps!$G$3:$G$700,"Y")</f>
        <v>6</v>
      </c>
      <c r="G9" s="32" t="n">
        <f aca="false" t="array" ref="G9:G9">IFERROR(MEDIAN(IF((Comps!$A$3:$A$700=$A9)*(Comps!$C$3:$C$700="Exit")*(Comps!$G$3:$G$700="Y"),Comps!$D$3:$D$700)),0)</f>
        <v>101400000</v>
      </c>
      <c r="H9" s="31" t="n">
        <f aca="false">COUNTIFS(Comps!$A$3:$A$700,$A9,Comps!$C$3:$C$700,"Private",Comps!$G$3:$G$700,"Y")</f>
        <v>0</v>
      </c>
      <c r="I9" s="32" t="n">
        <f aca="false">IFERROR(AVERAGEIFS(Comps!$D$3:$D$700,Comps!$A$3:$A$700,$A9,Comps!$C$3:$C$700,"Private",Comps!$G$3:$G$700,"Y"),0)</f>
        <v>0</v>
      </c>
      <c r="J9" s="33" t="n">
        <f aca="false">Assumptions!$B$7</f>
        <v>2.5</v>
      </c>
      <c r="K9" s="32" t="n">
        <f aca="false">I9*J9</f>
        <v>0</v>
      </c>
      <c r="L9" s="41" t="n">
        <f aca="false">IF(AND(G9&gt;0,K9&gt;0),(G9+K9)/2,MAX(G9,K9))</f>
        <v>101400000</v>
      </c>
      <c r="M9" s="35" t="n">
        <v>0.1034</v>
      </c>
      <c r="N9" s="36" t="n">
        <f aca="false">IFERROR(INDEX(Assumptions!$D$11:$D$19,MATCH(D9,Assumptions!$A$11:$A$19,0)),0)</f>
        <v>0.3</v>
      </c>
      <c r="O9" s="37"/>
      <c r="P9" s="36" t="n">
        <f aca="false">IFERROR(IF(ISBLANK(O9),N9,O9),0)</f>
        <v>0.3</v>
      </c>
      <c r="Q9" s="38" t="n">
        <f aca="false">IFERROR(Assumptions!$B$5+INDEX(Assumptions!$E$11:$E$19,MATCH(D9,Assumptions!$A$11:$A$19,0)),Assumptions!$B$5)</f>
        <v>2031</v>
      </c>
      <c r="R9" s="39"/>
      <c r="S9" s="31" t="n">
        <f aca="false">IF(ISBLANK(R9),Q9,R9)</f>
        <v>2031</v>
      </c>
      <c r="T9" s="40" t="n">
        <f aca="false">L9*M9</f>
        <v>10484760</v>
      </c>
      <c r="U9" s="41" t="n">
        <f aca="false">P9*L9*M9</f>
        <v>3145428</v>
      </c>
      <c r="V9" s="32" t="n">
        <f aca="false">P9*G9*M9</f>
        <v>3145428</v>
      </c>
      <c r="W9" s="32" t="n">
        <f aca="false">P9*K9*M9</f>
        <v>0</v>
      </c>
      <c r="X9" s="32" t="n">
        <f aca="false">IFERROR(U9/(1+Assumptions!$B$6)^(S9-Assumptions!$B$5),0)</f>
        <v>1563833.62415583</v>
      </c>
      <c r="Y9" s="30" t="n">
        <v>3051000</v>
      </c>
      <c r="Z9" s="42" t="n">
        <f aca="false">IF(Y9=0,"",U9/Y9)</f>
        <v>1.03094985250737</v>
      </c>
      <c r="AA9" s="43" t="n">
        <f aca="false">E9*Assumptions!$B$8*M9</f>
        <v>11821722</v>
      </c>
      <c r="AB9" s="44" t="s">
        <v>67</v>
      </c>
      <c r="AC9" s="73" t="n">
        <f aca="false">IFERROR(INDEX(Assumptions!$F$11:$F$19,MATCH(D9,Assumptions!$A$11:$A$19,0)),0)</f>
        <v>1.5</v>
      </c>
      <c r="AD9" s="30" t="n">
        <f aca="false">Y9*AC9</f>
        <v>4576500</v>
      </c>
      <c r="AE9" s="30" t="n">
        <f aca="false">Y9+AD9</f>
        <v>7627500</v>
      </c>
      <c r="AF9" s="42" t="n">
        <f aca="false">IF(AE9=0,"",U9/AE9)</f>
        <v>0.41237994100295</v>
      </c>
      <c r="AG9" s="30"/>
    </row>
    <row r="10" customFormat="false" ht="15" hidden="false" customHeight="true" outlineLevel="0" collapsed="false">
      <c r="A10" s="26" t="s">
        <v>80</v>
      </c>
      <c r="B10" s="27" t="s">
        <v>81</v>
      </c>
      <c r="C10" s="28" t="s">
        <v>56</v>
      </c>
      <c r="D10" s="29" t="s">
        <v>70</v>
      </c>
      <c r="E10" s="30" t="n">
        <v>17410000</v>
      </c>
      <c r="F10" s="31" t="n">
        <f aca="false">COUNTIFS(Comps!$A$3:$A$700,$A10,Comps!$C$3:$C$700,"Exit",Comps!$G$3:$G$700,"Y")</f>
        <v>4</v>
      </c>
      <c r="G10" s="32" t="n">
        <f aca="false" t="array" ref="G10:G10">IFERROR(MEDIAN(IF((Comps!$A$3:$A$700=$A10)*(Comps!$C$3:$C$700="Exit")*(Comps!$G$3:$G$700="Y"),Comps!$D$3:$D$700)),0)</f>
        <v>21725000</v>
      </c>
      <c r="H10" s="31" t="n">
        <f aca="false">COUNTIFS(Comps!$A$3:$A$700,$A10,Comps!$C$3:$C$700,"Private",Comps!$G$3:$G$700,"Y")</f>
        <v>2</v>
      </c>
      <c r="I10" s="32" t="n">
        <f aca="false">IFERROR(AVERAGEIFS(Comps!$D$3:$D$700,Comps!$A$3:$A$700,$A10,Comps!$C$3:$C$700,"Private",Comps!$G$3:$G$700,"Y"),0)</f>
        <v>20785000</v>
      </c>
      <c r="J10" s="33" t="n">
        <f aca="false">Assumptions!$B$7</f>
        <v>2.5</v>
      </c>
      <c r="K10" s="32" t="n">
        <f aca="false">I10*J10</f>
        <v>51962500</v>
      </c>
      <c r="L10" s="41" t="n">
        <f aca="false">IF(AND(G10&gt;0,K10&gt;0),(G10+K10)/2,MAX(G10,K10))</f>
        <v>36843750</v>
      </c>
      <c r="M10" s="35" t="n">
        <v>0.0277</v>
      </c>
      <c r="N10" s="36" t="n">
        <f aca="false">IFERROR(INDEX(Assumptions!$D$11:$D$19,MATCH(D10,Assumptions!$A$11:$A$19,0)),0)</f>
        <v>0.72</v>
      </c>
      <c r="O10" s="37" t="n">
        <v>0.39</v>
      </c>
      <c r="P10" s="36" t="n">
        <f aca="false">IFERROR(IF(ISBLANK(O10),N10,O10),0)</f>
        <v>0.39</v>
      </c>
      <c r="Q10" s="38" t="n">
        <f aca="false">IFERROR(Assumptions!$B$5+INDEX(Assumptions!$E$11:$E$19,MATCH(D10,Assumptions!$A$11:$A$19,0)),Assumptions!$B$5)</f>
        <v>2028</v>
      </c>
      <c r="R10" s="39"/>
      <c r="S10" s="31" t="n">
        <f aca="false">IF(ISBLANK(R10),Q10,R10)</f>
        <v>2028</v>
      </c>
      <c r="T10" s="40" t="n">
        <f aca="false">L10*M10</f>
        <v>1020571.875</v>
      </c>
      <c r="U10" s="41" t="n">
        <f aca="false">P10*L10*M10</f>
        <v>398023.03125</v>
      </c>
      <c r="V10" s="32" t="n">
        <f aca="false">P10*G10*M10</f>
        <v>234695.175</v>
      </c>
      <c r="W10" s="32" t="n">
        <f aca="false">P10*K10*M10</f>
        <v>561350.8875</v>
      </c>
      <c r="X10" s="32" t="n">
        <f aca="false">IFERROR(U10/(1+Assumptions!$B$6)^(S10-Assumptions!$B$5),0)</f>
        <v>300962.594517958</v>
      </c>
      <c r="Y10" s="30" t="n">
        <v>267000</v>
      </c>
      <c r="Z10" s="42" t="n">
        <f aca="false">IF(Y10=0,"",U10/Y10)</f>
        <v>1.49072296348315</v>
      </c>
      <c r="AA10" s="43" t="n">
        <f aca="false">E10*Assumptions!$B$8*M10</f>
        <v>1446771</v>
      </c>
      <c r="AB10" s="44" t="s">
        <v>82</v>
      </c>
      <c r="AC10" s="73" t="n">
        <f aca="false">IFERROR(INDEX(Assumptions!$F$11:$F$19,MATCH(D10,Assumptions!$A$11:$A$19,0)),0)</f>
        <v>0.5</v>
      </c>
      <c r="AD10" s="30" t="n">
        <f aca="false">Y10*AC10</f>
        <v>133500</v>
      </c>
      <c r="AE10" s="30" t="n">
        <f aca="false">Y10+AD10</f>
        <v>400500</v>
      </c>
      <c r="AF10" s="42" t="n">
        <f aca="false">IF(AE10=0,"",U10/AE10)</f>
        <v>0.993815308988764</v>
      </c>
      <c r="AG10" s="30"/>
    </row>
    <row r="11" customFormat="false" ht="15" hidden="false" customHeight="true" outlineLevel="0" collapsed="false">
      <c r="A11" s="26" t="s">
        <v>83</v>
      </c>
      <c r="B11" s="27" t="s">
        <v>84</v>
      </c>
      <c r="C11" s="28" t="s">
        <v>65</v>
      </c>
      <c r="D11" s="29" t="s">
        <v>66</v>
      </c>
      <c r="E11" s="30" t="n">
        <v>42870000</v>
      </c>
      <c r="F11" s="31" t="n">
        <f aca="false">COUNTIFS(Comps!$A$3:$A$700,$A11,Comps!$C$3:$C$700,"Exit",Comps!$G$3:$G$700,"Y")</f>
        <v>1</v>
      </c>
      <c r="G11" s="32" t="n">
        <f aca="false" t="array" ref="G11:G11">IFERROR(MEDIAN(IF((Comps!$A$3:$A$700=$A11)*(Comps!$C$3:$C$700="Exit")*(Comps!$G$3:$G$700="Y"),Comps!$D$3:$D$700)),0)</f>
        <v>44590000</v>
      </c>
      <c r="H11" s="31" t="n">
        <f aca="false">COUNTIFS(Comps!$A$3:$A$700,$A11,Comps!$C$3:$C$700,"Private",Comps!$G$3:$G$700,"Y")</f>
        <v>0</v>
      </c>
      <c r="I11" s="32" t="n">
        <f aca="false">IFERROR(AVERAGEIFS(Comps!$D$3:$D$700,Comps!$A$3:$A$700,$A11,Comps!$C$3:$C$700,"Private",Comps!$G$3:$G$700,"Y"),0)</f>
        <v>0</v>
      </c>
      <c r="J11" s="33" t="n">
        <f aca="false">Assumptions!$B$7</f>
        <v>2.5</v>
      </c>
      <c r="K11" s="32" t="n">
        <f aca="false">I11*J11</f>
        <v>0</v>
      </c>
      <c r="L11" s="41" t="n">
        <f aca="false">IF(AND(G11&gt;0,K11&gt;0),(G11+K11)/2,MAX(G11,K11))</f>
        <v>44590000</v>
      </c>
      <c r="M11" s="35" t="n">
        <v>0.0497</v>
      </c>
      <c r="N11" s="36" t="n">
        <f aca="false">IFERROR(INDEX(Assumptions!$D$11:$D$19,MATCH(D11,Assumptions!$A$11:$A$19,0)),0)</f>
        <v>0.3</v>
      </c>
      <c r="O11" s="37"/>
      <c r="P11" s="36" t="n">
        <f aca="false">IFERROR(IF(ISBLANK(O11),N11,O11),0)</f>
        <v>0.3</v>
      </c>
      <c r="Q11" s="38" t="n">
        <f aca="false">IFERROR(Assumptions!$B$5+INDEX(Assumptions!$E$11:$E$19,MATCH(D11,Assumptions!$A$11:$A$19,0)),Assumptions!$B$5)</f>
        <v>2031</v>
      </c>
      <c r="R11" s="39"/>
      <c r="S11" s="31" t="n">
        <f aca="false">IF(ISBLANK(R11),Q11,R11)</f>
        <v>2031</v>
      </c>
      <c r="T11" s="40" t="n">
        <f aca="false">L11*M11</f>
        <v>2216123</v>
      </c>
      <c r="U11" s="41" t="n">
        <f aca="false">P11*L11*M11</f>
        <v>664836.9</v>
      </c>
      <c r="V11" s="32" t="n">
        <f aca="false">P11*G11*M11</f>
        <v>664836.9</v>
      </c>
      <c r="W11" s="32" t="n">
        <f aca="false">P11*K11*M11</f>
        <v>0</v>
      </c>
      <c r="X11" s="32" t="n">
        <f aca="false">IFERROR(U11/(1+Assumptions!$B$6)^(S11-Assumptions!$B$5),0)</f>
        <v>330541.439447836</v>
      </c>
      <c r="Y11" s="30" t="n">
        <v>1772000</v>
      </c>
      <c r="Z11" s="42" t="n">
        <f aca="false">IF(Y11=0,"",U11/Y11)</f>
        <v>0.375190124153499</v>
      </c>
      <c r="AA11" s="43" t="n">
        <f aca="false">E11*Assumptions!$B$8*M11</f>
        <v>6391917</v>
      </c>
      <c r="AB11" s="45" t="s">
        <v>67</v>
      </c>
      <c r="AC11" s="73" t="n">
        <f aca="false">IFERROR(INDEX(Assumptions!$F$11:$F$19,MATCH(D11,Assumptions!$A$11:$A$19,0)),0)</f>
        <v>1.5</v>
      </c>
      <c r="AD11" s="30" t="n">
        <f aca="false">Y11*AC11</f>
        <v>2658000</v>
      </c>
      <c r="AE11" s="30" t="n">
        <f aca="false">Y11+AD11</f>
        <v>4430000</v>
      </c>
      <c r="AF11" s="42" t="n">
        <f aca="false">IF(AE11=0,"",U11/AE11)</f>
        <v>0.1500760496614</v>
      </c>
      <c r="AG11" s="30"/>
    </row>
    <row r="12" customFormat="false" ht="15" hidden="false" customHeight="true" outlineLevel="0" collapsed="false">
      <c r="A12" s="26" t="s">
        <v>85</v>
      </c>
      <c r="B12" s="27" t="s">
        <v>86</v>
      </c>
      <c r="C12" s="28" t="s">
        <v>65</v>
      </c>
      <c r="D12" s="29" t="s">
        <v>57</v>
      </c>
      <c r="E12" s="30" t="n">
        <v>16920000</v>
      </c>
      <c r="F12" s="31" t="n">
        <f aca="false">COUNTIFS(Comps!$A$3:$A$700,$A12,Comps!$C$3:$C$700,"Exit",Comps!$G$3:$G$700,"Y")</f>
        <v>7</v>
      </c>
      <c r="G12" s="32" t="n">
        <f aca="false" t="array" ref="G12:G12">IFERROR(MEDIAN(IF((Comps!$A$3:$A$700=$A12)*(Comps!$C$3:$C$700="Exit")*(Comps!$G$3:$G$700="Y"),Comps!$D$3:$D$700)),0)</f>
        <v>130310000</v>
      </c>
      <c r="H12" s="31" t="n">
        <f aca="false">COUNTIFS(Comps!$A$3:$A$700,$A12,Comps!$C$3:$C$700,"Private",Comps!$G$3:$G$700,"Y")</f>
        <v>1</v>
      </c>
      <c r="I12" s="32" t="n">
        <f aca="false">IFERROR(AVERAGEIFS(Comps!$D$3:$D$700,Comps!$A$3:$A$700,$A12,Comps!$C$3:$C$700,"Private",Comps!$G$3:$G$700,"Y"),0)</f>
        <v>19120000</v>
      </c>
      <c r="J12" s="33" t="n">
        <f aca="false">Assumptions!$B$7</f>
        <v>2.5</v>
      </c>
      <c r="K12" s="32" t="n">
        <f aca="false">I12*J12</f>
        <v>47800000</v>
      </c>
      <c r="L12" s="41" t="n">
        <f aca="false">IF(AND(G12&gt;0,K12&gt;0),(G12+K12)/2,MAX(G12,K12))</f>
        <v>89055000</v>
      </c>
      <c r="M12" s="35" t="n">
        <v>0.0424</v>
      </c>
      <c r="N12" s="36" t="n">
        <f aca="false">IFERROR(INDEX(Assumptions!$D$11:$D$19,MATCH(D12,Assumptions!$A$11:$A$19,0)),0)</f>
        <v>0.13</v>
      </c>
      <c r="O12" s="37" t="n">
        <v>0.29</v>
      </c>
      <c r="P12" s="36" t="n">
        <f aca="false">IFERROR(IF(ISBLANK(O12),N12,O12),0)</f>
        <v>0.29</v>
      </c>
      <c r="Q12" s="38" t="n">
        <f aca="false">IFERROR(Assumptions!$B$5+INDEX(Assumptions!$E$11:$E$19,MATCH(D12,Assumptions!$A$11:$A$19,0)),Assumptions!$B$5)</f>
        <v>2033</v>
      </c>
      <c r="R12" s="39"/>
      <c r="S12" s="31" t="n">
        <f aca="false">IF(ISBLANK(R12),Q12,R12)</f>
        <v>2033</v>
      </c>
      <c r="T12" s="40" t="n">
        <f aca="false">L12*M12</f>
        <v>3775932</v>
      </c>
      <c r="U12" s="41" t="n">
        <f aca="false">P12*L12*M12</f>
        <v>1095020.28</v>
      </c>
      <c r="V12" s="32" t="n">
        <f aca="false">P12*G12*M12</f>
        <v>1602291.76</v>
      </c>
      <c r="W12" s="32" t="n">
        <f aca="false">P12*K12*M12</f>
        <v>587748.8</v>
      </c>
      <c r="X12" s="32" t="n">
        <f aca="false">IFERROR(U12/(1+Assumptions!$B$6)^(S12-Assumptions!$B$5),0)</f>
        <v>411658.682718956</v>
      </c>
      <c r="Y12" s="30" t="n">
        <v>610000</v>
      </c>
      <c r="Z12" s="42" t="n">
        <f aca="false">IF(Y12=0,"",U12/Y12)</f>
        <v>1.79511521311475</v>
      </c>
      <c r="AA12" s="43" t="n">
        <f aca="false">E12*Assumptions!$B$8*M12</f>
        <v>2152224</v>
      </c>
      <c r="AB12" s="44" t="s">
        <v>87</v>
      </c>
      <c r="AC12" s="73" t="n">
        <f aca="false">IFERROR(INDEX(Assumptions!$F$11:$F$19,MATCH(D12,Assumptions!$A$11:$A$19,0)),0)</f>
        <v>2</v>
      </c>
      <c r="AD12" s="30" t="n">
        <f aca="false">Y12*AC12</f>
        <v>1220000</v>
      </c>
      <c r="AE12" s="30" t="n">
        <f aca="false">Y12+AD12</f>
        <v>1830000</v>
      </c>
      <c r="AF12" s="42" t="n">
        <f aca="false">IF(AE12=0,"",U12/AE12)</f>
        <v>0.598371737704918</v>
      </c>
      <c r="AG12" s="30"/>
    </row>
    <row r="13" customFormat="false" ht="15" hidden="false" customHeight="true" outlineLevel="0" collapsed="false">
      <c r="A13" s="26" t="s">
        <v>88</v>
      </c>
      <c r="B13" s="27" t="s">
        <v>89</v>
      </c>
      <c r="C13" s="28" t="s">
        <v>56</v>
      </c>
      <c r="D13" s="29" t="s">
        <v>70</v>
      </c>
      <c r="E13" s="30" t="n">
        <v>74430000</v>
      </c>
      <c r="F13" s="31" t="n">
        <f aca="false">COUNTIFS(Comps!$A$3:$A$700,$A13,Comps!$C$3:$C$700,"Exit",Comps!$G$3:$G$700,"Y")</f>
        <v>2</v>
      </c>
      <c r="G13" s="32" t="n">
        <f aca="false" t="array" ref="G13:G13">IFERROR(MEDIAN(IF((Comps!$A$3:$A$700=$A13)*(Comps!$C$3:$C$700="Exit")*(Comps!$G$3:$G$700="Y"),Comps!$D$3:$D$700)),0)</f>
        <v>145940000</v>
      </c>
      <c r="H13" s="31" t="n">
        <f aca="false">COUNTIFS(Comps!$A$3:$A$700,$A13,Comps!$C$3:$C$700,"Private",Comps!$G$3:$G$700,"Y")</f>
        <v>4</v>
      </c>
      <c r="I13" s="32" t="n">
        <f aca="false">IFERROR(AVERAGEIFS(Comps!$D$3:$D$700,Comps!$A$3:$A$700,$A13,Comps!$C$3:$C$700,"Private",Comps!$G$3:$G$700,"Y"),0)</f>
        <v>87067500</v>
      </c>
      <c r="J13" s="33" t="n">
        <f aca="false">Assumptions!$B$7</f>
        <v>2.5</v>
      </c>
      <c r="K13" s="32" t="n">
        <f aca="false">I13*J13</f>
        <v>217668750</v>
      </c>
      <c r="L13" s="41" t="n">
        <f aca="false">IF(AND(G13&gt;0,K13&gt;0),(G13+K13)/2,MAX(G13,K13))</f>
        <v>181804375</v>
      </c>
      <c r="M13" s="35" t="n">
        <v>0.0555</v>
      </c>
      <c r="N13" s="36" t="n">
        <f aca="false">IFERROR(INDEX(Assumptions!$D$11:$D$19,MATCH(D13,Assumptions!$A$11:$A$19,0)),0)</f>
        <v>0.72</v>
      </c>
      <c r="O13" s="37" t="n">
        <v>0.29</v>
      </c>
      <c r="P13" s="36" t="n">
        <f aca="false">IFERROR(IF(ISBLANK(O13),N13,O13),0)</f>
        <v>0.29</v>
      </c>
      <c r="Q13" s="38" t="n">
        <f aca="false">IFERROR(Assumptions!$B$5+INDEX(Assumptions!$E$11:$E$19,MATCH(D13,Assumptions!$A$11:$A$19,0)),Assumptions!$B$5)</f>
        <v>2028</v>
      </c>
      <c r="R13" s="39"/>
      <c r="S13" s="31" t="n">
        <f aca="false">IF(ISBLANK(R13),Q13,R13)</f>
        <v>2028</v>
      </c>
      <c r="T13" s="40" t="n">
        <f aca="false">L13*M13</f>
        <v>10090142.8125</v>
      </c>
      <c r="U13" s="41" t="n">
        <f aca="false">P13*L13*M13</f>
        <v>2926141.415625</v>
      </c>
      <c r="V13" s="32" t="n">
        <f aca="false">P13*G13*M13</f>
        <v>2348904.3</v>
      </c>
      <c r="W13" s="32" t="n">
        <f aca="false">P13*K13*M13</f>
        <v>3503378.53125</v>
      </c>
      <c r="X13" s="32" t="n">
        <f aca="false">IFERROR(U13/(1+Assumptions!$B$6)^(S13-Assumptions!$B$5),0)</f>
        <v>2212583.3010397</v>
      </c>
      <c r="Y13" s="30" t="n">
        <v>3144000</v>
      </c>
      <c r="Z13" s="42" t="n">
        <f aca="false">IF(Y13=0,"",U13/Y13)</f>
        <v>0.930706557132634</v>
      </c>
      <c r="AA13" s="43" t="n">
        <f aca="false">E13*Assumptions!$B$8*M13</f>
        <v>12392595</v>
      </c>
      <c r="AB13" s="45" t="s">
        <v>90</v>
      </c>
      <c r="AC13" s="73" t="n">
        <f aca="false">IFERROR(INDEX(Assumptions!$F$11:$F$19,MATCH(D13,Assumptions!$A$11:$A$19,0)),0)</f>
        <v>0.5</v>
      </c>
      <c r="AD13" s="30" t="n">
        <f aca="false">Y13*AC13</f>
        <v>1572000</v>
      </c>
      <c r="AE13" s="30" t="n">
        <f aca="false">Y13+AD13</f>
        <v>4716000</v>
      </c>
      <c r="AF13" s="42" t="n">
        <f aca="false">IF(AE13=0,"",U13/AE13)</f>
        <v>0.620471038088422</v>
      </c>
      <c r="AG13" s="30"/>
    </row>
    <row r="14" customFormat="false" ht="28.5" hidden="false" customHeight="true" outlineLevel="0" collapsed="false">
      <c r="A14" s="26" t="s">
        <v>91</v>
      </c>
      <c r="B14" s="27" t="s">
        <v>92</v>
      </c>
      <c r="C14" s="28" t="s">
        <v>56</v>
      </c>
      <c r="D14" s="29" t="s">
        <v>66</v>
      </c>
      <c r="E14" s="30" t="n">
        <v>51790000</v>
      </c>
      <c r="F14" s="31" t="n">
        <f aca="false">COUNTIFS(Comps!$A$3:$A$700,$A14,Comps!$C$3:$C$700,"Exit",Comps!$G$3:$G$700,"Y")</f>
        <v>8</v>
      </c>
      <c r="G14" s="32" t="n">
        <f aca="false" t="array" ref="G14:G14">IFERROR(MEDIAN(IF((Comps!$A$3:$A$700=$A14)*(Comps!$C$3:$C$700="Exit")*(Comps!$G$3:$G$700="Y"),Comps!$D$3:$D$700)),0)</f>
        <v>109045000</v>
      </c>
      <c r="H14" s="31" t="n">
        <f aca="false">COUNTIFS(Comps!$A$3:$A$700,$A14,Comps!$C$3:$C$700,"Private",Comps!$G$3:$G$700,"Y")</f>
        <v>2</v>
      </c>
      <c r="I14" s="32" t="n">
        <f aca="false">IFERROR(AVERAGEIFS(Comps!$D$3:$D$700,Comps!$A$3:$A$700,$A14,Comps!$C$3:$C$700,"Private",Comps!$G$3:$G$700,"Y"),0)</f>
        <v>46105000</v>
      </c>
      <c r="J14" s="33" t="n">
        <f aca="false">Assumptions!$B$7</f>
        <v>2.5</v>
      </c>
      <c r="K14" s="32" t="n">
        <f aca="false">I14*J14</f>
        <v>115262500</v>
      </c>
      <c r="L14" s="41" t="n">
        <f aca="false">IF(AND(G14&gt;0,K14&gt;0),(G14+K14)/2,MAX(G14,K14))</f>
        <v>112153750</v>
      </c>
      <c r="M14" s="35" t="n">
        <v>0.0819</v>
      </c>
      <c r="N14" s="36" t="n">
        <f aca="false">IFERROR(INDEX(Assumptions!$D$11:$D$19,MATCH(D14,Assumptions!$A$11:$A$19,0)),0)</f>
        <v>0.3</v>
      </c>
      <c r="O14" s="37"/>
      <c r="P14" s="36" t="n">
        <f aca="false">IFERROR(IF(ISBLANK(O14),N14,O14),0)</f>
        <v>0.3</v>
      </c>
      <c r="Q14" s="38" t="n">
        <f aca="false">IFERROR(Assumptions!$B$5+INDEX(Assumptions!$E$11:$E$19,MATCH(D14,Assumptions!$A$11:$A$19,0)),Assumptions!$B$5)</f>
        <v>2031</v>
      </c>
      <c r="R14" s="39"/>
      <c r="S14" s="31" t="n">
        <f aca="false">IF(ISBLANK(R14),Q14,R14)</f>
        <v>2031</v>
      </c>
      <c r="T14" s="40" t="n">
        <f aca="false">L14*M14</f>
        <v>9185392.125</v>
      </c>
      <c r="U14" s="41" t="n">
        <f aca="false">P14*L14*M14</f>
        <v>2755617.6375</v>
      </c>
      <c r="V14" s="32" t="n">
        <f aca="false">P14*G14*M14</f>
        <v>2679235.65</v>
      </c>
      <c r="W14" s="32" t="n">
        <f aca="false">P14*K14*M14</f>
        <v>2831999.625</v>
      </c>
      <c r="X14" s="32" t="n">
        <f aca="false">IFERROR(U14/(1+Assumptions!$B$6)^(S14-Assumptions!$B$5),0)</f>
        <v>1370028.98074264</v>
      </c>
      <c r="Y14" s="30" t="n">
        <v>1874000</v>
      </c>
      <c r="Z14" s="42" t="n">
        <f aca="false">IF(Y14=0,"",U14/Y14)</f>
        <v>1.47044697838847</v>
      </c>
      <c r="AA14" s="43" t="n">
        <f aca="false">E14*Assumptions!$B$8*M14</f>
        <v>12724803</v>
      </c>
      <c r="AB14" s="45" t="s">
        <v>67</v>
      </c>
      <c r="AC14" s="73" t="n">
        <f aca="false">IFERROR(INDEX(Assumptions!$F$11:$F$19,MATCH(D14,Assumptions!$A$11:$A$19,0)),0)</f>
        <v>1.5</v>
      </c>
      <c r="AD14" s="30" t="n">
        <f aca="false">Y14*AC14</f>
        <v>2811000</v>
      </c>
      <c r="AE14" s="30" t="n">
        <f aca="false">Y14+AD14</f>
        <v>4685000</v>
      </c>
      <c r="AF14" s="42" t="n">
        <f aca="false">IF(AE14=0,"",U14/AE14)</f>
        <v>0.58817879135539</v>
      </c>
      <c r="AG14" s="30"/>
    </row>
    <row r="15" customFormat="false" ht="15" hidden="false" customHeight="true" outlineLevel="0" collapsed="false">
      <c r="A15" s="26" t="s">
        <v>93</v>
      </c>
      <c r="B15" s="27" t="s">
        <v>94</v>
      </c>
      <c r="C15" s="28" t="s">
        <v>65</v>
      </c>
      <c r="D15" s="29" t="s">
        <v>57</v>
      </c>
      <c r="E15" s="30" t="n">
        <v>27080000</v>
      </c>
      <c r="F15" s="31" t="n">
        <f aca="false">COUNTIFS(Comps!$A$3:$A$700,$A15,Comps!$C$3:$C$700,"Exit",Comps!$G$3:$G$700,"Y")</f>
        <v>3</v>
      </c>
      <c r="G15" s="32" t="n">
        <f aca="false" t="array" ref="G15:G15">IFERROR(MEDIAN(IF((Comps!$A$3:$A$700=$A15)*(Comps!$C$3:$C$700="Exit")*(Comps!$G$3:$G$700="Y"),Comps!$D$3:$D$700)),0)</f>
        <v>105990000</v>
      </c>
      <c r="H15" s="31" t="n">
        <f aca="false">COUNTIFS(Comps!$A$3:$A$700,$A15,Comps!$C$3:$C$700,"Private",Comps!$G$3:$G$700,"Y")</f>
        <v>1</v>
      </c>
      <c r="I15" s="32" t="n">
        <f aca="false">IFERROR(AVERAGEIFS(Comps!$D$3:$D$700,Comps!$A$3:$A$700,$A15,Comps!$C$3:$C$700,"Private",Comps!$G$3:$G$700,"Y"),0)</f>
        <v>44500000</v>
      </c>
      <c r="J15" s="33" t="n">
        <f aca="false">Assumptions!$B$7</f>
        <v>2.5</v>
      </c>
      <c r="K15" s="32" t="n">
        <f aca="false">I15*J15</f>
        <v>111250000</v>
      </c>
      <c r="L15" s="41" t="n">
        <f aca="false">IF(AND(G15&gt;0,K15&gt;0),(G15+K15)/2,MAX(G15,K15))</f>
        <v>108620000</v>
      </c>
      <c r="M15" s="35" t="n">
        <v>0.0609</v>
      </c>
      <c r="N15" s="36" t="n">
        <f aca="false">IFERROR(INDEX(Assumptions!$D$11:$D$19,MATCH(D15,Assumptions!$A$11:$A$19,0)),0)</f>
        <v>0.13</v>
      </c>
      <c r="O15" s="37"/>
      <c r="P15" s="36" t="n">
        <f aca="false">IFERROR(IF(ISBLANK(O15),N15,O15),0)</f>
        <v>0.13</v>
      </c>
      <c r="Q15" s="38" t="n">
        <f aca="false">IFERROR(Assumptions!$B$5+INDEX(Assumptions!$E$11:$E$19,MATCH(D15,Assumptions!$A$11:$A$19,0)),Assumptions!$B$5)</f>
        <v>2033</v>
      </c>
      <c r="R15" s="39"/>
      <c r="S15" s="31" t="n">
        <f aca="false">IF(ISBLANK(R15),Q15,R15)</f>
        <v>2033</v>
      </c>
      <c r="T15" s="40" t="n">
        <f aca="false">L15*M15</f>
        <v>6614958</v>
      </c>
      <c r="U15" s="41" t="n">
        <f aca="false">P15*L15*M15</f>
        <v>859944.54</v>
      </c>
      <c r="V15" s="32" t="n">
        <f aca="false">P15*G15*M15</f>
        <v>839122.83</v>
      </c>
      <c r="W15" s="32" t="n">
        <f aca="false">P15*K15*M15</f>
        <v>880766.25</v>
      </c>
      <c r="X15" s="32" t="n">
        <f aca="false">IFERROR(U15/(1+Assumptions!$B$6)^(S15-Assumptions!$B$5),0)</f>
        <v>323285.004865626</v>
      </c>
      <c r="Y15" s="30" t="n">
        <v>1156000</v>
      </c>
      <c r="Z15" s="42" t="n">
        <f aca="false">IF(Y15=0,"",U15/Y15)</f>
        <v>0.743896660899654</v>
      </c>
      <c r="AA15" s="43" t="n">
        <f aca="false">E15*Assumptions!$B$8*M15</f>
        <v>4947516</v>
      </c>
      <c r="AB15" s="45" t="s">
        <v>58</v>
      </c>
      <c r="AC15" s="73" t="n">
        <f aca="false">IFERROR(INDEX(Assumptions!$F$11:$F$19,MATCH(D15,Assumptions!$A$11:$A$19,0)),0)</f>
        <v>2</v>
      </c>
      <c r="AD15" s="30" t="n">
        <f aca="false">Y15*AC15</f>
        <v>2312000</v>
      </c>
      <c r="AE15" s="30" t="n">
        <f aca="false">Y15+AD15</f>
        <v>3468000</v>
      </c>
      <c r="AF15" s="42" t="n">
        <f aca="false">IF(AE15=0,"",U15/AE15)</f>
        <v>0.247965553633218</v>
      </c>
      <c r="AG15" s="30"/>
    </row>
    <row r="16" customFormat="false" ht="15" hidden="false" customHeight="true" outlineLevel="0" collapsed="false">
      <c r="A16" s="26" t="s">
        <v>95</v>
      </c>
      <c r="B16" s="27" t="s">
        <v>96</v>
      </c>
      <c r="C16" s="28" t="s">
        <v>79</v>
      </c>
      <c r="D16" s="29" t="s">
        <v>70</v>
      </c>
      <c r="E16" s="30" t="n">
        <v>17580000</v>
      </c>
      <c r="F16" s="31" t="n">
        <f aca="false">COUNTIFS(Comps!$A$3:$A$700,$A16,Comps!$C$3:$C$700,"Exit",Comps!$G$3:$G$700,"Y")</f>
        <v>5</v>
      </c>
      <c r="G16" s="32" t="n">
        <f aca="false" t="array" ref="G16:G16">IFERROR(MEDIAN(IF((Comps!$A$3:$A$700=$A16)*(Comps!$C$3:$C$700="Exit")*(Comps!$G$3:$G$700="Y"),Comps!$D$3:$D$700)),0)</f>
        <v>39550000</v>
      </c>
      <c r="H16" s="31" t="n">
        <f aca="false">COUNTIFS(Comps!$A$3:$A$700,$A16,Comps!$C$3:$C$700,"Private",Comps!$G$3:$G$700,"Y")</f>
        <v>1</v>
      </c>
      <c r="I16" s="32" t="n">
        <f aca="false">IFERROR(AVERAGEIFS(Comps!$D$3:$D$700,Comps!$A$3:$A$700,$A16,Comps!$C$3:$C$700,"Private",Comps!$G$3:$G$700,"Y"),0)</f>
        <v>25020000</v>
      </c>
      <c r="J16" s="33" t="n">
        <f aca="false">Assumptions!$B$7</f>
        <v>2.5</v>
      </c>
      <c r="K16" s="32" t="n">
        <f aca="false">I16*J16</f>
        <v>62550000</v>
      </c>
      <c r="L16" s="41" t="n">
        <f aca="false">IF(AND(G16&gt;0,K16&gt;0),(G16+K16)/2,MAX(G16,K16))</f>
        <v>51050000</v>
      </c>
      <c r="M16" s="35" t="n">
        <v>0.0276</v>
      </c>
      <c r="N16" s="36" t="n">
        <f aca="false">IFERROR(INDEX(Assumptions!$D$11:$D$19,MATCH(D16,Assumptions!$A$11:$A$19,0)),0)</f>
        <v>0.72</v>
      </c>
      <c r="O16" s="37"/>
      <c r="P16" s="36" t="n">
        <f aca="false">IFERROR(IF(ISBLANK(O16),N16,O16),0)</f>
        <v>0.72</v>
      </c>
      <c r="Q16" s="38" t="n">
        <f aca="false">IFERROR(Assumptions!$B$5+INDEX(Assumptions!$E$11:$E$19,MATCH(D16,Assumptions!$A$11:$A$19,0)),Assumptions!$B$5)</f>
        <v>2028</v>
      </c>
      <c r="R16" s="39"/>
      <c r="S16" s="31" t="n">
        <f aca="false">IF(ISBLANK(R16),Q16,R16)</f>
        <v>2028</v>
      </c>
      <c r="T16" s="40" t="n">
        <f aca="false">L16*M16</f>
        <v>1408980</v>
      </c>
      <c r="U16" s="41" t="n">
        <f aca="false">P16*L16*M16</f>
        <v>1014465.6</v>
      </c>
      <c r="V16" s="32" t="n">
        <f aca="false">P16*G16*M16</f>
        <v>785937.6</v>
      </c>
      <c r="W16" s="32" t="n">
        <f aca="false">P16*K16*M16</f>
        <v>1242993.6</v>
      </c>
      <c r="X16" s="32" t="n">
        <f aca="false">IFERROR(U16/(1+Assumptions!$B$6)^(S16-Assumptions!$B$5),0)</f>
        <v>767081.739130435</v>
      </c>
      <c r="Y16" s="30" t="n">
        <v>171000</v>
      </c>
      <c r="Z16" s="42" t="n">
        <f aca="false">IF(Y16=0,"",U16/Y16)</f>
        <v>5.93254736842105</v>
      </c>
      <c r="AA16" s="43" t="n">
        <f aca="false">E16*Assumptions!$B$8*M16</f>
        <v>1455624</v>
      </c>
      <c r="AB16" s="45" t="s">
        <v>71</v>
      </c>
      <c r="AC16" s="73" t="n">
        <f aca="false">IFERROR(INDEX(Assumptions!$F$11:$F$19,MATCH(D16,Assumptions!$A$11:$A$19,0)),0)</f>
        <v>0.5</v>
      </c>
      <c r="AD16" s="30" t="n">
        <f aca="false">Y16*AC16</f>
        <v>85500</v>
      </c>
      <c r="AE16" s="30" t="n">
        <f aca="false">Y16+AD16</f>
        <v>256500</v>
      </c>
      <c r="AF16" s="42" t="n">
        <f aca="false">IF(AE16=0,"",U16/AE16)</f>
        <v>3.95503157894737</v>
      </c>
      <c r="AG16" s="30"/>
    </row>
    <row r="17" customFormat="false" ht="15" hidden="false" customHeight="true" outlineLevel="0" collapsed="false">
      <c r="A17" s="26" t="s">
        <v>97</v>
      </c>
      <c r="B17" s="27" t="s">
        <v>98</v>
      </c>
      <c r="C17" s="28" t="s">
        <v>56</v>
      </c>
      <c r="D17" s="29" t="s">
        <v>70</v>
      </c>
      <c r="E17" s="30" t="n">
        <v>23310000</v>
      </c>
      <c r="F17" s="31" t="n">
        <f aca="false">COUNTIFS(Comps!$A$3:$A$700,$A17,Comps!$C$3:$C$700,"Exit",Comps!$G$3:$G$700,"Y")</f>
        <v>2</v>
      </c>
      <c r="G17" s="32" t="n">
        <f aca="false" t="array" ref="G17:G17">IFERROR(MEDIAN(IF((Comps!$A$3:$A$700=$A17)*(Comps!$C$3:$C$700="Exit")*(Comps!$G$3:$G$700="Y"),Comps!$D$3:$D$700)),0)</f>
        <v>21290000</v>
      </c>
      <c r="H17" s="31" t="n">
        <f aca="false">COUNTIFS(Comps!$A$3:$A$700,$A17,Comps!$C$3:$C$700,"Private",Comps!$G$3:$G$700,"Y")</f>
        <v>0</v>
      </c>
      <c r="I17" s="32" t="n">
        <f aca="false">IFERROR(AVERAGEIFS(Comps!$D$3:$D$700,Comps!$A$3:$A$700,$A17,Comps!$C$3:$C$700,"Private",Comps!$G$3:$G$700,"Y"),0)</f>
        <v>0</v>
      </c>
      <c r="J17" s="33" t="n">
        <f aca="false">Assumptions!$B$7</f>
        <v>2.5</v>
      </c>
      <c r="K17" s="32" t="n">
        <f aca="false">I17*J17</f>
        <v>0</v>
      </c>
      <c r="L17" s="41" t="n">
        <f aca="false">IF(AND(G17&gt;0,K17&gt;0),(G17+K17)/2,MAX(G17,K17))</f>
        <v>21290000</v>
      </c>
      <c r="M17" s="35" t="n">
        <v>0.0783</v>
      </c>
      <c r="N17" s="36" t="n">
        <f aca="false">IFERROR(INDEX(Assumptions!$D$11:$D$19,MATCH(D17,Assumptions!$A$11:$A$19,0)),0)</f>
        <v>0.72</v>
      </c>
      <c r="O17" s="37" t="n">
        <v>0.53</v>
      </c>
      <c r="P17" s="36" t="n">
        <f aca="false">IFERROR(IF(ISBLANK(O17),N17,O17),0)</f>
        <v>0.53</v>
      </c>
      <c r="Q17" s="38" t="n">
        <f aca="false">IFERROR(Assumptions!$B$5+INDEX(Assumptions!$E$11:$E$19,MATCH(D17,Assumptions!$A$11:$A$19,0)),Assumptions!$B$5)</f>
        <v>2028</v>
      </c>
      <c r="R17" s="39"/>
      <c r="S17" s="31" t="n">
        <f aca="false">IF(ISBLANK(R17),Q17,R17)</f>
        <v>2028</v>
      </c>
      <c r="T17" s="40" t="n">
        <f aca="false">L17*M17</f>
        <v>1667007</v>
      </c>
      <c r="U17" s="41" t="n">
        <f aca="false">P17*L17*M17</f>
        <v>883513.71</v>
      </c>
      <c r="V17" s="32" t="n">
        <f aca="false">P17*G17*M17</f>
        <v>883513.71</v>
      </c>
      <c r="W17" s="32" t="n">
        <f aca="false">P17*K17*M17</f>
        <v>0</v>
      </c>
      <c r="X17" s="32" t="n">
        <f aca="false">IFERROR(U17/(1+Assumptions!$B$6)^(S17-Assumptions!$B$5),0)</f>
        <v>668063.29678639</v>
      </c>
      <c r="Y17" s="30" t="n">
        <v>971000</v>
      </c>
      <c r="Z17" s="42" t="n">
        <f aca="false">IF(Y17=0,"",U17/Y17)</f>
        <v>0.909900834191555</v>
      </c>
      <c r="AA17" s="43" t="n">
        <f aca="false">E17*Assumptions!$B$8*M17</f>
        <v>5475519</v>
      </c>
      <c r="AB17" s="45" t="s">
        <v>99</v>
      </c>
      <c r="AC17" s="73" t="n">
        <f aca="false">IFERROR(INDEX(Assumptions!$F$11:$F$19,MATCH(D17,Assumptions!$A$11:$A$19,0)),0)</f>
        <v>0.5</v>
      </c>
      <c r="AD17" s="30" t="n">
        <f aca="false">Y17*AC17</f>
        <v>485500</v>
      </c>
      <c r="AE17" s="30" t="n">
        <f aca="false">Y17+AD17</f>
        <v>1456500</v>
      </c>
      <c r="AF17" s="42" t="n">
        <f aca="false">IF(AE17=0,"",U17/AE17)</f>
        <v>0.606600556127703</v>
      </c>
      <c r="AG17" s="30"/>
    </row>
    <row r="18" customFormat="false" ht="15" hidden="false" customHeight="true" outlineLevel="0" collapsed="false">
      <c r="A18" s="26" t="s">
        <v>100</v>
      </c>
      <c r="B18" s="27" t="s">
        <v>101</v>
      </c>
      <c r="C18" s="28" t="s">
        <v>56</v>
      </c>
      <c r="D18" s="29" t="s">
        <v>70</v>
      </c>
      <c r="E18" s="30" t="n">
        <v>17000000</v>
      </c>
      <c r="F18" s="31" t="n">
        <f aca="false">COUNTIFS(Comps!$A$3:$A$700,$A18,Comps!$C$3:$C$700,"Exit",Comps!$G$3:$G$700,"Y")</f>
        <v>2</v>
      </c>
      <c r="G18" s="32" t="n">
        <f aca="false" t="array" ref="G18:G18">IFERROR(MEDIAN(IF((Comps!$A$3:$A$700=$A18)*(Comps!$C$3:$C$700="Exit")*(Comps!$G$3:$G$700="Y"),Comps!$D$3:$D$700)),0)</f>
        <v>48485000</v>
      </c>
      <c r="H18" s="31" t="n">
        <f aca="false">COUNTIFS(Comps!$A$3:$A$700,$A18,Comps!$C$3:$C$700,"Private",Comps!$G$3:$G$700,"Y")</f>
        <v>2</v>
      </c>
      <c r="I18" s="32" t="n">
        <f aca="false">IFERROR(AVERAGEIFS(Comps!$D$3:$D$700,Comps!$A$3:$A$700,$A18,Comps!$C$3:$C$700,"Private",Comps!$G$3:$G$700,"Y"),0)</f>
        <v>17180000</v>
      </c>
      <c r="J18" s="33" t="n">
        <v>1</v>
      </c>
      <c r="K18" s="32" t="n">
        <f aca="false">I18*J18</f>
        <v>17180000</v>
      </c>
      <c r="L18" s="41" t="n">
        <f aca="false">IF(AND(G18&gt;0,K18&gt;0),(G18+K18)/2,MAX(G18,K18))</f>
        <v>32832500</v>
      </c>
      <c r="M18" s="35" t="n">
        <v>0.0379</v>
      </c>
      <c r="N18" s="36" t="n">
        <f aca="false">IFERROR(INDEX(Assumptions!$D$11:$D$19,MATCH(D18,Assumptions!$A$11:$A$19,0)),0)</f>
        <v>0.72</v>
      </c>
      <c r="O18" s="37" t="n">
        <v>0.38</v>
      </c>
      <c r="P18" s="36" t="n">
        <f aca="false">IFERROR(IF(ISBLANK(O18),N18,O18),0)</f>
        <v>0.38</v>
      </c>
      <c r="Q18" s="38" t="n">
        <f aca="false">IFERROR(Assumptions!$B$5+INDEX(Assumptions!$E$11:$E$19,MATCH(D18,Assumptions!$A$11:$A$19,0)),Assumptions!$B$5)</f>
        <v>2028</v>
      </c>
      <c r="R18" s="39"/>
      <c r="S18" s="31" t="n">
        <f aca="false">IF(ISBLANK(R18),Q18,R18)</f>
        <v>2028</v>
      </c>
      <c r="T18" s="40" t="n">
        <f aca="false">L18*M18</f>
        <v>1244351.75</v>
      </c>
      <c r="U18" s="41" t="n">
        <f aca="false">P18*L18*M18</f>
        <v>472853.665</v>
      </c>
      <c r="V18" s="32" t="n">
        <f aca="false">P18*G18*M18</f>
        <v>698280.97</v>
      </c>
      <c r="W18" s="32" t="n">
        <f aca="false">P18*K18*M18</f>
        <v>247426.36</v>
      </c>
      <c r="X18" s="32" t="n">
        <f aca="false">IFERROR(U18/(1+Assumptions!$B$6)^(S18-Assumptions!$B$5),0)</f>
        <v>357545.304347826</v>
      </c>
      <c r="Y18" s="30" t="n">
        <v>539000</v>
      </c>
      <c r="Z18" s="42" t="n">
        <f aca="false">IF(Y18=0,"",U18/Y18)</f>
        <v>0.87727952690167</v>
      </c>
      <c r="AA18" s="43" t="n">
        <f aca="false">E18*Assumptions!$B$8*M18</f>
        <v>1932900</v>
      </c>
      <c r="AB18" s="45" t="s">
        <v>102</v>
      </c>
      <c r="AC18" s="73" t="n">
        <f aca="false">IFERROR(INDEX(Assumptions!$F$11:$F$19,MATCH(D18,Assumptions!$A$11:$A$19,0)),0)</f>
        <v>0.5</v>
      </c>
      <c r="AD18" s="30" t="n">
        <f aca="false">Y18*AC18</f>
        <v>269500</v>
      </c>
      <c r="AE18" s="30" t="n">
        <f aca="false">Y18+AD18</f>
        <v>808500</v>
      </c>
      <c r="AF18" s="42" t="n">
        <f aca="false">IF(AE18=0,"",U18/AE18)</f>
        <v>0.584853017934447</v>
      </c>
      <c r="AG18" s="30"/>
    </row>
    <row r="19" customFormat="false" ht="24" hidden="false" customHeight="true" outlineLevel="0" collapsed="false">
      <c r="A19" s="26" t="s">
        <v>103</v>
      </c>
      <c r="B19" s="27" t="s">
        <v>104</v>
      </c>
      <c r="C19" s="28" t="s">
        <v>79</v>
      </c>
      <c r="D19" s="29" t="s">
        <v>105</v>
      </c>
      <c r="E19" s="46" t="n">
        <v>6480000</v>
      </c>
      <c r="F19" s="46" t="n">
        <f aca="false">COUNTIFS(Comps!$A$3:$A$700,$A19,Comps!$C$3:$C$700,"Exit",Comps!$G$3:$G$700,"Y")</f>
        <v>4</v>
      </c>
      <c r="G19" s="46" t="n">
        <f aca="false" t="array" ref="G19:G19">IFERROR(MEDIAN(IF((Comps!$A$3:$A$700=$A19)*(Comps!$C$3:$C$700="Exit")*(Comps!$G$3:$G$700="Y"),Comps!$D$3:$D$700)),0)</f>
        <v>19985000</v>
      </c>
      <c r="H19" s="46" t="n">
        <f aca="false">COUNTIFS(Comps!$A$3:$A$700,$A19,Comps!$C$3:$C$700,"Private",Comps!$G$3:$G$700,"Y")</f>
        <v>1</v>
      </c>
      <c r="I19" s="46" t="n">
        <f aca="false">IFERROR(AVERAGEIFS(Comps!$D$3:$D$700,Comps!$A$3:$A$700,$A19,Comps!$C$3:$C$700,"Private",Comps!$G$3:$G$700,"Y"),0)</f>
        <v>7280000</v>
      </c>
      <c r="J19" s="46" t="n">
        <f aca="false">Assumptions!$B$7</f>
        <v>2.5</v>
      </c>
      <c r="K19" s="46" t="n">
        <f aca="false">I19*J19</f>
        <v>18200000</v>
      </c>
      <c r="L19" s="46" t="n">
        <f aca="false">IF(AND(G19&gt;0,K19&gt;0),(G19+K19)/2,MAX(G19,K19))</f>
        <v>19092500</v>
      </c>
      <c r="M19" s="46" t="n">
        <v>0.0748</v>
      </c>
      <c r="N19" s="46" t="n">
        <f aca="false">IFERROR(INDEX(Assumptions!$D$11:$D$19,MATCH(D19,Assumptions!$A$11:$A$19,0)),0)</f>
        <v>0.08</v>
      </c>
      <c r="O19" s="46" t="n">
        <v>0.58</v>
      </c>
      <c r="P19" s="48" t="n">
        <f aca="false">IFERROR(IF(ISBLANK(O19),N19,O19),0)</f>
        <v>0.58</v>
      </c>
      <c r="Q19" s="46" t="n">
        <f aca="false">IFERROR(Assumptions!$B$5+INDEX(Assumptions!$E$11:$E$19,MATCH(D19,Assumptions!$A$11:$A$19,0)),Assumptions!$B$5)</f>
        <v>2035</v>
      </c>
      <c r="R19" s="46"/>
      <c r="S19" s="46" t="n">
        <f aca="false">IF(ISBLANK(R19),Q19,R19)</f>
        <v>2035</v>
      </c>
      <c r="T19" s="46" t="n">
        <f aca="false">L19*M19</f>
        <v>1428119</v>
      </c>
      <c r="U19" s="46" t="n">
        <f aca="false">P19*L19*M19</f>
        <v>828309.02</v>
      </c>
      <c r="V19" s="46" t="n">
        <f aca="false">P19*G19*M19</f>
        <v>867029.24</v>
      </c>
      <c r="W19" s="46" t="n">
        <f aca="false">P19*K19*M19</f>
        <v>789588.8</v>
      </c>
      <c r="X19" s="46" t="n">
        <f aca="false">IFERROR(U19/(1+Assumptions!$B$6)^(S19-Assumptions!$B$5),0)</f>
        <v>235457.119939809</v>
      </c>
      <c r="Y19" s="30" t="n">
        <v>251000</v>
      </c>
      <c r="Z19" s="42" t="n">
        <f aca="false">IF(Y19=0,"",U19/Y19)</f>
        <v>3.30003593625498</v>
      </c>
      <c r="AA19" s="43" t="n">
        <f aca="false">E19*Assumptions!$B$8*M19</f>
        <v>1454112</v>
      </c>
      <c r="AB19" s="45" t="s">
        <v>106</v>
      </c>
      <c r="AC19" s="73" t="n">
        <f aca="false">IFERROR(INDEX(Assumptions!$F$11:$F$19,MATCH(D19,Assumptions!$A$11:$A$19,0)),0)</f>
        <v>2.5</v>
      </c>
      <c r="AD19" s="30" t="n">
        <f aca="false">Y19*AC19</f>
        <v>627500</v>
      </c>
      <c r="AE19" s="30" t="n">
        <f aca="false">Y19+AD19</f>
        <v>878500</v>
      </c>
      <c r="AF19" s="42" t="n">
        <f aca="false">IF(AE19=0,"",U19/AE19)</f>
        <v>0.942867410358566</v>
      </c>
      <c r="AG19" s="30"/>
    </row>
    <row r="20" customFormat="false" ht="15" hidden="false" customHeight="true" outlineLevel="0" collapsed="false">
      <c r="A20" s="26" t="s">
        <v>107</v>
      </c>
      <c r="B20" s="27" t="s">
        <v>108</v>
      </c>
      <c r="C20" s="28" t="s">
        <v>56</v>
      </c>
      <c r="D20" s="29" t="s">
        <v>70</v>
      </c>
      <c r="E20" s="30" t="n">
        <v>58820000</v>
      </c>
      <c r="F20" s="31" t="n">
        <f aca="false">COUNTIFS(Comps!$A$3:$A$700,$A20,Comps!$C$3:$C$700,"Exit",Comps!$G$3:$G$700,"Y")</f>
        <v>6</v>
      </c>
      <c r="G20" s="32" t="n">
        <f aca="false" t="array" ref="G20:G20">IFERROR(MEDIAN(IF((Comps!$A$3:$A$700=$A20)*(Comps!$C$3:$C$700="Exit")*(Comps!$G$3:$G$700="Y"),Comps!$D$3:$D$700)),0)</f>
        <v>94090000</v>
      </c>
      <c r="H20" s="31" t="n">
        <f aca="false">COUNTIFS(Comps!$A$3:$A$700,$A20,Comps!$C$3:$C$700,"Private",Comps!$G$3:$G$700,"Y")</f>
        <v>3</v>
      </c>
      <c r="I20" s="32" t="n">
        <f aca="false">IFERROR(AVERAGEIFS(Comps!$D$3:$D$700,Comps!$A$3:$A$700,$A20,Comps!$C$3:$C$700,"Private",Comps!$G$3:$G$700,"Y"),0)</f>
        <v>30966666.6666667</v>
      </c>
      <c r="J20" s="33" t="n">
        <v>1</v>
      </c>
      <c r="K20" s="32" t="n">
        <f aca="false">I20*J20</f>
        <v>30966666.6666667</v>
      </c>
      <c r="L20" s="41" t="n">
        <f aca="false">IF(AND(G20&gt;0,K20&gt;0),(G20+K20)/2,MAX(G20,K20))</f>
        <v>62528333.3333333</v>
      </c>
      <c r="M20" s="35" t="n">
        <v>0.0509</v>
      </c>
      <c r="N20" s="36" t="n">
        <f aca="false">IFERROR(INDEX(Assumptions!$D$11:$D$19,MATCH(D20,Assumptions!$A$11:$A$19,0)),0)</f>
        <v>0.72</v>
      </c>
      <c r="O20" s="37"/>
      <c r="P20" s="36" t="n">
        <f aca="false">IFERROR(IF(ISBLANK(O20),N20,O20),0)</f>
        <v>0.72</v>
      </c>
      <c r="Q20" s="38" t="n">
        <f aca="false">IFERROR(Assumptions!$B$5+INDEX(Assumptions!$E$11:$E$19,MATCH(D20,Assumptions!$A$11:$A$19,0)),Assumptions!$B$5)</f>
        <v>2028</v>
      </c>
      <c r="R20" s="39"/>
      <c r="S20" s="31" t="n">
        <f aca="false">IF(ISBLANK(R20),Q20,R20)</f>
        <v>2028</v>
      </c>
      <c r="T20" s="40" t="n">
        <f aca="false">L20*M20</f>
        <v>3182692.16666667</v>
      </c>
      <c r="U20" s="41" t="n">
        <f aca="false">P20*L20*M20</f>
        <v>2291538.36</v>
      </c>
      <c r="V20" s="32" t="n">
        <f aca="false">P20*G20*M20</f>
        <v>3448210.32</v>
      </c>
      <c r="W20" s="32" t="n">
        <f aca="false">P20*K20*M20</f>
        <v>1134866.4</v>
      </c>
      <c r="X20" s="32" t="n">
        <f aca="false">IFERROR(U20/(1+Assumptions!$B$6)^(S20-Assumptions!$B$5),0)</f>
        <v>1732732.21928166</v>
      </c>
      <c r="Y20" s="30" t="n">
        <v>2443000</v>
      </c>
      <c r="Z20" s="42" t="n">
        <f aca="false">IF(Y20=0,"",U20/Y20)</f>
        <v>0.938001784690954</v>
      </c>
      <c r="AA20" s="43" t="n">
        <f aca="false">E20*Assumptions!$B$8*M20</f>
        <v>8981814</v>
      </c>
      <c r="AB20" s="45" t="s">
        <v>74</v>
      </c>
      <c r="AC20" s="73" t="n">
        <f aca="false">IFERROR(INDEX(Assumptions!$F$11:$F$19,MATCH(D20,Assumptions!$A$11:$A$19,0)),0)</f>
        <v>0.5</v>
      </c>
      <c r="AD20" s="30" t="n">
        <f aca="false">Y20*AC20</f>
        <v>1221500</v>
      </c>
      <c r="AE20" s="30" t="n">
        <f aca="false">Y20+AD20</f>
        <v>3664500</v>
      </c>
      <c r="AF20" s="42" t="n">
        <f aca="false">IF(AE20=0,"",U20/AE20)</f>
        <v>0.625334523127302</v>
      </c>
      <c r="AG20" s="30"/>
    </row>
    <row r="21" customFormat="false" ht="15" hidden="false" customHeight="true" outlineLevel="0" collapsed="false">
      <c r="A21" s="26" t="s">
        <v>109</v>
      </c>
      <c r="B21" s="27" t="s">
        <v>110</v>
      </c>
      <c r="C21" s="28" t="s">
        <v>79</v>
      </c>
      <c r="D21" s="29" t="s">
        <v>70</v>
      </c>
      <c r="E21" s="30" t="n">
        <v>133030000</v>
      </c>
      <c r="F21" s="31" t="n">
        <f aca="false">COUNTIFS(Comps!$A$3:$A$700,$A21,Comps!$C$3:$C$700,"Exit",Comps!$G$3:$G$700,"Y")</f>
        <v>3</v>
      </c>
      <c r="G21" s="32" t="n">
        <f aca="false" t="array" ref="G21:G21">IFERROR(MEDIAN(IF((Comps!$A$3:$A$700=$A21)*(Comps!$C$3:$C$700="Exit")*(Comps!$G$3:$G$700="Y"),Comps!$D$3:$D$700)),0)</f>
        <v>309380000</v>
      </c>
      <c r="H21" s="31" t="n">
        <f aca="false">COUNTIFS(Comps!$A$3:$A$700,$A21,Comps!$C$3:$C$700,"Private",Comps!$G$3:$G$700,"Y")</f>
        <v>3</v>
      </c>
      <c r="I21" s="32" t="n">
        <f aca="false">IFERROR(AVERAGEIFS(Comps!$D$3:$D$700,Comps!$A$3:$A$700,$A21,Comps!$C$3:$C$700,"Private",Comps!$G$3:$G$700,"Y"),0)</f>
        <v>161986666.666667</v>
      </c>
      <c r="J21" s="33" t="n">
        <v>1</v>
      </c>
      <c r="K21" s="32" t="n">
        <f aca="false">I21*J21</f>
        <v>161986666.666667</v>
      </c>
      <c r="L21" s="41" t="n">
        <f aca="false">IF(AND(G21&gt;0,K21&gt;0),(G21+K21)/2,MAX(G21,K21))</f>
        <v>235683333.333333</v>
      </c>
      <c r="M21" s="35" t="n">
        <v>0.0847</v>
      </c>
      <c r="N21" s="36" t="n">
        <f aca="false">IFERROR(INDEX(Assumptions!$D$11:$D$19,MATCH(D21,Assumptions!$A$11:$A$19,0)),0)</f>
        <v>0.72</v>
      </c>
      <c r="O21" s="37" t="n">
        <v>0.9</v>
      </c>
      <c r="P21" s="36" t="n">
        <f aca="false">IFERROR(IF(ISBLANK(O21),N21,O21),0)</f>
        <v>0.9</v>
      </c>
      <c r="Q21" s="38" t="n">
        <f aca="false">IFERROR(Assumptions!$B$5+INDEX(Assumptions!$E$11:$E$19,MATCH(D21,Assumptions!$A$11:$A$19,0)),Assumptions!$B$5)</f>
        <v>2028</v>
      </c>
      <c r="R21" s="39"/>
      <c r="S21" s="31" t="n">
        <f aca="false">IF(ISBLANK(R21),Q21,R21)</f>
        <v>2028</v>
      </c>
      <c r="T21" s="40" t="n">
        <f aca="false">L21*M21</f>
        <v>19962378.3333333</v>
      </c>
      <c r="U21" s="41" t="n">
        <f aca="false">P21*L21*M21</f>
        <v>17966140.5</v>
      </c>
      <c r="V21" s="32" t="n">
        <f aca="false">P21*G21*M21</f>
        <v>23584037.4</v>
      </c>
      <c r="W21" s="32" t="n">
        <f aca="false">P21*K21*M21</f>
        <v>12348243.6</v>
      </c>
      <c r="X21" s="32" t="n">
        <f aca="false">IFERROR(U21/(1+Assumptions!$B$6)^(S21-Assumptions!$B$5),0)</f>
        <v>13584983.3648393</v>
      </c>
      <c r="Y21" s="30" t="n">
        <v>7594000</v>
      </c>
      <c r="Z21" s="42" t="n">
        <f aca="false">IF(Y21=0,"",U21/Y21)</f>
        <v>2.3658336186463</v>
      </c>
      <c r="AA21" s="43" t="n">
        <f aca="false">E21*Assumptions!$B$8*M21</f>
        <v>33802923</v>
      </c>
      <c r="AB21" s="45" t="s">
        <v>111</v>
      </c>
      <c r="AC21" s="73" t="n">
        <f aca="false">IFERROR(INDEX(Assumptions!$F$11:$F$19,MATCH(D21,Assumptions!$A$11:$A$19,0)),0)</f>
        <v>0.5</v>
      </c>
      <c r="AD21" s="30" t="n">
        <f aca="false">Y21*AC21</f>
        <v>3797000</v>
      </c>
      <c r="AE21" s="30" t="n">
        <f aca="false">Y21+AD21</f>
        <v>11391000</v>
      </c>
      <c r="AF21" s="42" t="n">
        <f aca="false">IF(AE21=0,"",U21/AE21)</f>
        <v>1.57722241243087</v>
      </c>
      <c r="AG21" s="30"/>
    </row>
    <row r="22" customFormat="false" ht="15" hidden="false" customHeight="true" outlineLevel="0" collapsed="false">
      <c r="A22" s="26" t="s">
        <v>112</v>
      </c>
      <c r="B22" s="27" t="s">
        <v>113</v>
      </c>
      <c r="C22" s="28" t="s">
        <v>79</v>
      </c>
      <c r="D22" s="29" t="s">
        <v>114</v>
      </c>
      <c r="E22" s="30" t="n">
        <v>27970000</v>
      </c>
      <c r="F22" s="31" t="n">
        <f aca="false">COUNTIFS(Comps!$A$3:$A$700,$A22,Comps!$C$3:$C$700,"Exit",Comps!$G$3:$G$700,"Y")</f>
        <v>1</v>
      </c>
      <c r="G22" s="32" t="n">
        <f aca="false" t="array" ref="G22:G22">IFERROR(MEDIAN(IF((Comps!$A$3:$A$700=$A22)*(Comps!$C$3:$C$700="Exit")*(Comps!$G$3:$G$700="Y"),Comps!$D$3:$D$700)),0)</f>
        <v>113970000</v>
      </c>
      <c r="H22" s="31" t="n">
        <f aca="false">COUNTIFS(Comps!$A$3:$A$700,$A22,Comps!$C$3:$C$700,"Private",Comps!$G$3:$G$700,"Y")</f>
        <v>3</v>
      </c>
      <c r="I22" s="32" t="n">
        <f aca="false">IFERROR(AVERAGEIFS(Comps!$D$3:$D$700,Comps!$A$3:$A$700,$A22,Comps!$C$3:$C$700,"Private",Comps!$G$3:$G$700,"Y"),0)</f>
        <v>33393333.3333333</v>
      </c>
      <c r="J22" s="33" t="n">
        <f aca="false">Assumptions!$B$7</f>
        <v>2.5</v>
      </c>
      <c r="K22" s="32" t="n">
        <f aca="false">I22*J22</f>
        <v>83483333.3333333</v>
      </c>
      <c r="L22" s="41" t="n">
        <f aca="false">IF(AND(G22&gt;0,K22&gt;0),(G22+K22)/2,MAX(G22,K22))</f>
        <v>98726666.6666667</v>
      </c>
      <c r="M22" s="35" t="n">
        <v>0.1146</v>
      </c>
      <c r="N22" s="36" t="n">
        <f aca="false">IFERROR(INDEX(Assumptions!$D$11:$D$19,MATCH(D22,Assumptions!$A$11:$A$19,0)),0)</f>
        <v>0.45</v>
      </c>
      <c r="O22" s="37"/>
      <c r="P22" s="36" t="n">
        <f aca="false">IFERROR(IF(ISBLANK(O22),N22,O22),0)</f>
        <v>0.45</v>
      </c>
      <c r="Q22" s="38" t="n">
        <f aca="false">IFERROR(Assumptions!$B$5+INDEX(Assumptions!$E$11:$E$19,MATCH(D22,Assumptions!$A$11:$A$19,0)),Assumptions!$B$5)</f>
        <v>2030</v>
      </c>
      <c r="R22" s="39"/>
      <c r="S22" s="31" t="n">
        <f aca="false">IF(ISBLANK(R22),Q22,R22)</f>
        <v>2030</v>
      </c>
      <c r="T22" s="40" t="n">
        <f aca="false">L22*M22</f>
        <v>11314076</v>
      </c>
      <c r="U22" s="41" t="n">
        <f aca="false">P22*L22*M22</f>
        <v>5091334.2</v>
      </c>
      <c r="V22" s="32" t="n">
        <f aca="false">P22*G22*M22</f>
        <v>5877432.9</v>
      </c>
      <c r="W22" s="32" t="n">
        <f aca="false">P22*K22*M22</f>
        <v>4305235.5</v>
      </c>
      <c r="X22" s="32" t="n">
        <f aca="false">IFERROR(U22/(1+Assumptions!$B$6)^(S22-Assumptions!$B$5),0)</f>
        <v>2910986.85324881</v>
      </c>
      <c r="Y22" s="30" t="n">
        <v>2327000</v>
      </c>
      <c r="Z22" s="42" t="n">
        <f aca="false">IF(Y22=0,"",U22/Y22)</f>
        <v>2.18793906317147</v>
      </c>
      <c r="AA22" s="43" t="n">
        <f aca="false">E22*Assumptions!$B$8*M22</f>
        <v>9616086</v>
      </c>
      <c r="AB22" s="45" t="s">
        <v>115</v>
      </c>
      <c r="AC22" s="73" t="n">
        <f aca="false">IFERROR(INDEX(Assumptions!$F$11:$F$19,MATCH(D22,Assumptions!$A$11:$A$19,0)),0)</f>
        <v>1</v>
      </c>
      <c r="AD22" s="30" t="n">
        <f aca="false">Y22*AC22</f>
        <v>2327000</v>
      </c>
      <c r="AE22" s="30" t="n">
        <f aca="false">Y22+AD22</f>
        <v>4654000</v>
      </c>
      <c r="AF22" s="42" t="n">
        <f aca="false">IF(AE22=0,"",U22/AE22)</f>
        <v>1.09396953158573</v>
      </c>
      <c r="AG22" s="30"/>
    </row>
    <row r="23" customFormat="false" ht="15" hidden="false" customHeight="true" outlineLevel="0" collapsed="false">
      <c r="A23" s="26" t="s">
        <v>116</v>
      </c>
      <c r="B23" s="27" t="s">
        <v>117</v>
      </c>
      <c r="C23" s="28" t="s">
        <v>65</v>
      </c>
      <c r="D23" s="29" t="s">
        <v>118</v>
      </c>
      <c r="E23" s="30" t="n">
        <v>20270000</v>
      </c>
      <c r="F23" s="31" t="n">
        <f aca="false">COUNTIFS(Comps!$A$3:$A$700,$A23,Comps!$C$3:$C$700,"Exit",Comps!$G$3:$G$700,"Y")</f>
        <v>6</v>
      </c>
      <c r="G23" s="32" t="n">
        <f aca="false" t="array" ref="G23:G23">IFERROR(MEDIAN(IF((Comps!$A$3:$A$700=$A23)*(Comps!$C$3:$C$700="Exit")*(Comps!$G$3:$G$700="Y"),Comps!$D$3:$D$700)),0)</f>
        <v>81215000</v>
      </c>
      <c r="H23" s="31" t="n">
        <f aca="false">COUNTIFS(Comps!$A$3:$A$700,$A23,Comps!$C$3:$C$700,"Private",Comps!$G$3:$G$700,"Y")</f>
        <v>3</v>
      </c>
      <c r="I23" s="32" t="n">
        <f aca="false">IFERROR(AVERAGEIFS(Comps!$D$3:$D$700,Comps!$A$3:$A$700,$A23,Comps!$C$3:$C$700,"Private",Comps!$G$3:$G$700,"Y"),0)</f>
        <v>21856666.6666667</v>
      </c>
      <c r="J23" s="33" t="n">
        <f aca="false">Assumptions!$B$7</f>
        <v>2.5</v>
      </c>
      <c r="K23" s="32" t="n">
        <f aca="false">I23*J23</f>
        <v>54641666.6666667</v>
      </c>
      <c r="L23" s="41" t="n">
        <f aca="false">IF(AND(G23&gt;0,K23&gt;0),(G23+K23)/2,MAX(G23,K23))</f>
        <v>67928333.3333333</v>
      </c>
      <c r="M23" s="35" t="n">
        <v>0.083</v>
      </c>
      <c r="N23" s="36" t="n">
        <f aca="false">IFERROR(INDEX(Assumptions!$D$11:$D$19,MATCH(D23,Assumptions!$A$11:$A$19,0)),0)</f>
        <v>0.2</v>
      </c>
      <c r="O23" s="37"/>
      <c r="P23" s="36" t="n">
        <f aca="false">IFERROR(IF(ISBLANK(O23),N23,O23),0)</f>
        <v>0.2</v>
      </c>
      <c r="Q23" s="38" t="n">
        <f aca="false">IFERROR(Assumptions!$B$5+INDEX(Assumptions!$E$11:$E$19,MATCH(D23,Assumptions!$A$11:$A$19,0)),Assumptions!$B$5)</f>
        <v>2032</v>
      </c>
      <c r="R23" s="39"/>
      <c r="S23" s="31" t="n">
        <f aca="false">IF(ISBLANK(R23),Q23,R23)</f>
        <v>2032</v>
      </c>
      <c r="T23" s="40" t="n">
        <f aca="false">L23*M23</f>
        <v>5638051.66666667</v>
      </c>
      <c r="U23" s="41" t="n">
        <f aca="false">P23*L23*M23</f>
        <v>1127610.33333333</v>
      </c>
      <c r="V23" s="32" t="n">
        <f aca="false">P23*G23*M23</f>
        <v>1348169</v>
      </c>
      <c r="W23" s="32" t="n">
        <f aca="false">P23*K23*M23</f>
        <v>907051.666666667</v>
      </c>
      <c r="X23" s="32" t="n">
        <f aca="false">IFERROR(U23/(1+Assumptions!$B$6)^(S23-Assumptions!$B$5),0)</f>
        <v>487497.064535029</v>
      </c>
      <c r="Y23" s="30" t="n">
        <v>708000</v>
      </c>
      <c r="Z23" s="42" t="n">
        <f aca="false">IF(Y23=0,"",U23/Y23)</f>
        <v>1.59266996233522</v>
      </c>
      <c r="AA23" s="43" t="n">
        <f aca="false">E23*Assumptions!$B$8*M23</f>
        <v>5047230</v>
      </c>
      <c r="AB23" s="45" t="s">
        <v>119</v>
      </c>
      <c r="AC23" s="73" t="n">
        <f aca="false">IFERROR(INDEX(Assumptions!$F$11:$F$19,MATCH(D23,Assumptions!$A$11:$A$19,0)),0)</f>
        <v>1.5</v>
      </c>
      <c r="AD23" s="30" t="n">
        <f aca="false">Y23*AC23</f>
        <v>1062000</v>
      </c>
      <c r="AE23" s="30" t="n">
        <f aca="false">Y23+AD23</f>
        <v>1770000</v>
      </c>
      <c r="AF23" s="42" t="n">
        <f aca="false">IF(AE23=0,"",U23/AE23)</f>
        <v>0.637067984934087</v>
      </c>
      <c r="AG23" s="30"/>
    </row>
    <row r="24" customFormat="false" ht="15" hidden="false" customHeight="true" outlineLevel="0" collapsed="false">
      <c r="A24" s="26" t="s">
        <v>120</v>
      </c>
      <c r="B24" s="27" t="s">
        <v>121</v>
      </c>
      <c r="C24" s="28" t="s">
        <v>56</v>
      </c>
      <c r="D24" s="29" t="s">
        <v>70</v>
      </c>
      <c r="E24" s="30" t="n">
        <v>18850000</v>
      </c>
      <c r="F24" s="31" t="n">
        <f aca="false">COUNTIFS(Comps!$A$3:$A$700,$A24,Comps!$C$3:$C$700,"Exit",Comps!$G$3:$G$700,"Y")</f>
        <v>4</v>
      </c>
      <c r="G24" s="32" t="n">
        <f aca="false" t="array" ref="G24:G24">IFERROR(MEDIAN(IF((Comps!$A$3:$A$700=$A24)*(Comps!$C$3:$C$700="Exit")*(Comps!$G$3:$G$700="Y"),Comps!$D$3:$D$700)),0)</f>
        <v>27975000</v>
      </c>
      <c r="H24" s="31" t="n">
        <f aca="false">COUNTIFS(Comps!$A$3:$A$700,$A24,Comps!$C$3:$C$700,"Private",Comps!$G$3:$G$700,"Y")</f>
        <v>0</v>
      </c>
      <c r="I24" s="32" t="n">
        <f aca="false">IFERROR(AVERAGEIFS(Comps!$D$3:$D$700,Comps!$A$3:$A$700,$A24,Comps!$C$3:$C$700,"Private",Comps!$G$3:$G$700,"Y"),0)</f>
        <v>0</v>
      </c>
      <c r="J24" s="33" t="n">
        <f aca="false">Assumptions!$B$7</f>
        <v>2.5</v>
      </c>
      <c r="K24" s="32" t="n">
        <f aca="false">I24*J24</f>
        <v>0</v>
      </c>
      <c r="L24" s="41" t="n">
        <f aca="false">IF(AND(G24&gt;0,K24&gt;0),(G24+K24)/2,MAX(G24,K24))</f>
        <v>27975000</v>
      </c>
      <c r="M24" s="35" t="n">
        <v>0.0876</v>
      </c>
      <c r="N24" s="36" t="n">
        <f aca="false">IFERROR(INDEX(Assumptions!$D$11:$D$19,MATCH(D24,Assumptions!$A$11:$A$19,0)),0)</f>
        <v>0.72</v>
      </c>
      <c r="O24" s="37"/>
      <c r="P24" s="36" t="n">
        <f aca="false">IFERROR(IF(ISBLANK(O24),N24,O24),0)</f>
        <v>0.72</v>
      </c>
      <c r="Q24" s="38" t="n">
        <f aca="false">IFERROR(Assumptions!$B$5+INDEX(Assumptions!$E$11:$E$19,MATCH(D24,Assumptions!$A$11:$A$19,0)),Assumptions!$B$5)</f>
        <v>2028</v>
      </c>
      <c r="R24" s="39"/>
      <c r="S24" s="31" t="n">
        <f aca="false">IF(ISBLANK(R24),Q24,R24)</f>
        <v>2028</v>
      </c>
      <c r="T24" s="40" t="n">
        <f aca="false">L24*M24</f>
        <v>2450610</v>
      </c>
      <c r="U24" s="41" t="n">
        <f aca="false">P24*L24*M24</f>
        <v>1764439.2</v>
      </c>
      <c r="V24" s="32" t="n">
        <f aca="false">P24*G24*M24</f>
        <v>1764439.2</v>
      </c>
      <c r="W24" s="32" t="n">
        <f aca="false">P24*K24*M24</f>
        <v>0</v>
      </c>
      <c r="X24" s="32" t="n">
        <f aca="false">IFERROR(U24/(1+Assumptions!$B$6)^(S24-Assumptions!$B$5),0)</f>
        <v>1334169.52741021</v>
      </c>
      <c r="Y24" s="30" t="n">
        <v>650000</v>
      </c>
      <c r="Z24" s="42" t="n">
        <f aca="false">IF(Y24=0,"",U24/Y24)</f>
        <v>2.71452184615385</v>
      </c>
      <c r="AA24" s="43" t="n">
        <f aca="false">E24*Assumptions!$B$8*M24</f>
        <v>4953780</v>
      </c>
      <c r="AB24" s="45" t="s">
        <v>71</v>
      </c>
      <c r="AC24" s="73" t="n">
        <f aca="false">IFERROR(INDEX(Assumptions!$F$11:$F$19,MATCH(D24,Assumptions!$A$11:$A$19,0)),0)</f>
        <v>0.5</v>
      </c>
      <c r="AD24" s="30" t="n">
        <f aca="false">Y24*AC24</f>
        <v>325000</v>
      </c>
      <c r="AE24" s="30" t="n">
        <f aca="false">Y24+AD24</f>
        <v>975000</v>
      </c>
      <c r="AF24" s="42" t="n">
        <f aca="false">IF(AE24=0,"",U24/AE24)</f>
        <v>1.80968123076923</v>
      </c>
      <c r="AG24" s="30"/>
    </row>
    <row r="25" customFormat="false" ht="15" hidden="false" customHeight="true" outlineLevel="0" collapsed="false">
      <c r="A25" s="26" t="s">
        <v>122</v>
      </c>
      <c r="B25" s="27" t="s">
        <v>123</v>
      </c>
      <c r="C25" s="28" t="s">
        <v>56</v>
      </c>
      <c r="D25" s="29" t="s">
        <v>66</v>
      </c>
      <c r="E25" s="30" t="n">
        <v>53550000</v>
      </c>
      <c r="F25" s="31" t="n">
        <f aca="false">COUNTIFS(Comps!$A$3:$A$700,$A25,Comps!$C$3:$C$700,"Exit",Comps!$G$3:$G$700,"Y")</f>
        <v>2</v>
      </c>
      <c r="G25" s="32" t="n">
        <f aca="false" t="array" ref="G25:G25">IFERROR(MEDIAN(IF((Comps!$A$3:$A$700=$A25)*(Comps!$C$3:$C$700="Exit")*(Comps!$G$3:$G$700="Y"),Comps!$D$3:$D$700)),0)</f>
        <v>239840000</v>
      </c>
      <c r="H25" s="31" t="n">
        <f aca="false">COUNTIFS(Comps!$A$3:$A$700,$A25,Comps!$C$3:$C$700,"Private",Comps!$G$3:$G$700,"Y")</f>
        <v>2</v>
      </c>
      <c r="I25" s="32" t="n">
        <f aca="false">IFERROR(AVERAGEIFS(Comps!$D$3:$D$700,Comps!$A$3:$A$700,$A25,Comps!$C$3:$C$700,"Private",Comps!$G$3:$G$700,"Y"),0)</f>
        <v>83875000</v>
      </c>
      <c r="J25" s="33" t="n">
        <f aca="false">Assumptions!$B$7</f>
        <v>2.5</v>
      </c>
      <c r="K25" s="32" t="n">
        <f aca="false">I25*J25</f>
        <v>209687500</v>
      </c>
      <c r="L25" s="41" t="n">
        <f aca="false">IF(AND(G25&gt;0,K25&gt;0),(G25+K25)/2,MAX(G25,K25))</f>
        <v>224763750</v>
      </c>
      <c r="M25" s="35" t="n">
        <v>0.1322</v>
      </c>
      <c r="N25" s="36" t="n">
        <f aca="false">IFERROR(INDEX(Assumptions!$D$11:$D$19,MATCH(D25,Assumptions!$A$11:$A$19,0)),0)</f>
        <v>0.3</v>
      </c>
      <c r="O25" s="37"/>
      <c r="P25" s="36" t="n">
        <f aca="false">IFERROR(IF(ISBLANK(O25),N25,O25),0)</f>
        <v>0.3</v>
      </c>
      <c r="Q25" s="38" t="n">
        <f aca="false">IFERROR(Assumptions!$B$5+INDEX(Assumptions!$E$11:$E$19,MATCH(D25,Assumptions!$A$11:$A$19,0)),Assumptions!$B$5)</f>
        <v>2031</v>
      </c>
      <c r="R25" s="39"/>
      <c r="S25" s="31" t="n">
        <f aca="false">IF(ISBLANK(R25),Q25,R25)</f>
        <v>2031</v>
      </c>
      <c r="T25" s="40" t="n">
        <f aca="false">L25*M25</f>
        <v>29713767.75</v>
      </c>
      <c r="U25" s="41" t="n">
        <f aca="false">P25*L25*M25</f>
        <v>8914130.325</v>
      </c>
      <c r="V25" s="32" t="n">
        <f aca="false">P25*G25*M25</f>
        <v>9512054.4</v>
      </c>
      <c r="W25" s="32" t="n">
        <f aca="false">P25*K25*M25</f>
        <v>8316206.25</v>
      </c>
      <c r="X25" s="32" t="n">
        <f aca="false">IFERROR(U25/(1+Assumptions!$B$6)^(S25-Assumptions!$B$5),0)</f>
        <v>4431898.21300698</v>
      </c>
      <c r="Y25" s="30" t="n">
        <v>2857000</v>
      </c>
      <c r="Z25" s="42" t="n">
        <f aca="false">IF(Y25=0,"",U25/Y25)</f>
        <v>3.12010161883094</v>
      </c>
      <c r="AA25" s="43" t="n">
        <f aca="false">E25*Assumptions!$B$8*M25</f>
        <v>21237930</v>
      </c>
      <c r="AB25" s="45" t="s">
        <v>67</v>
      </c>
      <c r="AC25" s="73" t="n">
        <f aca="false">IFERROR(INDEX(Assumptions!$F$11:$F$19,MATCH(D25,Assumptions!$A$11:$A$19,0)),0)</f>
        <v>1.5</v>
      </c>
      <c r="AD25" s="30" t="n">
        <f aca="false">Y25*AC25</f>
        <v>4285500</v>
      </c>
      <c r="AE25" s="30" t="n">
        <f aca="false">Y25+AD25</f>
        <v>7142500</v>
      </c>
      <c r="AF25" s="42" t="n">
        <f aca="false">IF(AE25=0,"",U25/AE25)</f>
        <v>1.24804064753238</v>
      </c>
      <c r="AG25" s="30"/>
    </row>
    <row r="26" customFormat="false" ht="15" hidden="false" customHeight="true" outlineLevel="0" collapsed="false">
      <c r="A26" s="26" t="s">
        <v>124</v>
      </c>
      <c r="B26" s="27" t="s">
        <v>125</v>
      </c>
      <c r="C26" s="28" t="s">
        <v>79</v>
      </c>
      <c r="D26" s="29" t="s">
        <v>66</v>
      </c>
      <c r="E26" s="30" t="n">
        <v>32410000</v>
      </c>
      <c r="F26" s="31" t="n">
        <f aca="false">COUNTIFS(Comps!$A$3:$A$700,$A26,Comps!$C$3:$C$700,"Exit",Comps!$G$3:$G$700,"Y")</f>
        <v>3</v>
      </c>
      <c r="G26" s="32" t="n">
        <f aca="false" t="array" ref="G26:G26">IFERROR(MEDIAN(IF((Comps!$A$3:$A$700=$A26)*(Comps!$C$3:$C$700="Exit")*(Comps!$G$3:$G$700="Y"),Comps!$D$3:$D$700)),0)</f>
        <v>124750000</v>
      </c>
      <c r="H26" s="31" t="n">
        <f aca="false">COUNTIFS(Comps!$A$3:$A$700,$A26,Comps!$C$3:$C$700,"Private",Comps!$G$3:$G$700,"Y")</f>
        <v>1</v>
      </c>
      <c r="I26" s="32" t="n">
        <f aca="false">IFERROR(AVERAGEIFS(Comps!$D$3:$D$700,Comps!$A$3:$A$700,$A26,Comps!$C$3:$C$700,"Private",Comps!$G$3:$G$700,"Y"),0)</f>
        <v>34610000</v>
      </c>
      <c r="J26" s="33" t="n">
        <f aca="false">Assumptions!$B$7</f>
        <v>2.5</v>
      </c>
      <c r="K26" s="32" t="n">
        <f aca="false">I26*J26</f>
        <v>86525000</v>
      </c>
      <c r="L26" s="41" t="n">
        <f aca="false">IF(AND(G26&gt;0,K26&gt;0),(G26+K26)/2,MAX(G26,K26))</f>
        <v>105637500</v>
      </c>
      <c r="M26" s="35" t="n">
        <v>0.0833</v>
      </c>
      <c r="N26" s="36" t="n">
        <f aca="false">IFERROR(INDEX(Assumptions!$D$11:$D$19,MATCH(D26,Assumptions!$A$11:$A$19,0)),0)</f>
        <v>0.3</v>
      </c>
      <c r="O26" s="37" t="n">
        <v>0.67</v>
      </c>
      <c r="P26" s="36" t="n">
        <f aca="false">IFERROR(IF(ISBLANK(O26),N26,O26),0)</f>
        <v>0.67</v>
      </c>
      <c r="Q26" s="38" t="n">
        <f aca="false">IFERROR(Assumptions!$B$5+INDEX(Assumptions!$E$11:$E$19,MATCH(D26,Assumptions!$A$11:$A$19,0)),Assumptions!$B$5)</f>
        <v>2031</v>
      </c>
      <c r="R26" s="39"/>
      <c r="S26" s="31" t="n">
        <f aca="false">IF(ISBLANK(R26),Q26,R26)</f>
        <v>2031</v>
      </c>
      <c r="T26" s="40" t="n">
        <f aca="false">L26*M26</f>
        <v>8799603.75</v>
      </c>
      <c r="U26" s="41" t="n">
        <f aca="false">P26*L26*M26</f>
        <v>5895734.5125</v>
      </c>
      <c r="V26" s="32" t="n">
        <f aca="false">P26*G26*M26</f>
        <v>6962422.25</v>
      </c>
      <c r="W26" s="32" t="n">
        <f aca="false">P26*K26*M26</f>
        <v>4829046.775</v>
      </c>
      <c r="X26" s="32" t="n">
        <f aca="false">IFERROR(U26/(1+Assumptions!$B$6)^(S26-Assumptions!$B$5),0)</f>
        <v>2931222.03711021</v>
      </c>
      <c r="Y26" s="30" t="n">
        <v>2212000</v>
      </c>
      <c r="Z26" s="42" t="n">
        <f aca="false">IF(Y26=0,"",U26/Y26)</f>
        <v>2.66534109968354</v>
      </c>
      <c r="AA26" s="43" t="n">
        <f aca="false">E26*Assumptions!$B$8*M26</f>
        <v>8099259</v>
      </c>
      <c r="AB26" s="45" t="s">
        <v>126</v>
      </c>
      <c r="AC26" s="73" t="n">
        <f aca="false">IFERROR(INDEX(Assumptions!$F$11:$F$19,MATCH(D26,Assumptions!$A$11:$A$19,0)),0)</f>
        <v>1.5</v>
      </c>
      <c r="AD26" s="30" t="n">
        <f aca="false">Y26*AC26</f>
        <v>3318000</v>
      </c>
      <c r="AE26" s="30" t="n">
        <f aca="false">Y26+AD26</f>
        <v>5530000</v>
      </c>
      <c r="AF26" s="42" t="n">
        <f aca="false">IF(AE26=0,"",U26/AE26)</f>
        <v>1.06613643987342</v>
      </c>
      <c r="AG26" s="30"/>
    </row>
    <row r="27" customFormat="false" ht="15" hidden="false" customHeight="true" outlineLevel="0" collapsed="false">
      <c r="A27" s="26" t="s">
        <v>127</v>
      </c>
      <c r="B27" s="27" t="s">
        <v>128</v>
      </c>
      <c r="C27" s="28" t="s">
        <v>79</v>
      </c>
      <c r="D27" s="29" t="s">
        <v>66</v>
      </c>
      <c r="E27" s="30" t="n">
        <v>84430000</v>
      </c>
      <c r="F27" s="31" t="n">
        <f aca="false">COUNTIFS(Comps!$A$3:$A$700,$A27,Comps!$C$3:$C$700,"Exit",Comps!$G$3:$G$700,"Y")</f>
        <v>2</v>
      </c>
      <c r="G27" s="32" t="n">
        <f aca="false" t="array" ref="G27:G27">IFERROR(MEDIAN(IF((Comps!$A$3:$A$700=$A27)*(Comps!$C$3:$C$700="Exit")*(Comps!$G$3:$G$700="Y"),Comps!$D$3:$D$700)),0)</f>
        <v>495115000</v>
      </c>
      <c r="H27" s="31" t="n">
        <f aca="false">COUNTIFS(Comps!$A$3:$A$700,$A27,Comps!$C$3:$C$700,"Private",Comps!$G$3:$G$700,"Y")</f>
        <v>3</v>
      </c>
      <c r="I27" s="32" t="n">
        <f aca="false">IFERROR(AVERAGEIFS(Comps!$D$3:$D$700,Comps!$A$3:$A$700,$A27,Comps!$C$3:$C$700,"Private",Comps!$G$3:$G$700,"Y"),0)</f>
        <v>87820000</v>
      </c>
      <c r="J27" s="33" t="n">
        <f aca="false">Assumptions!$B$7</f>
        <v>2.5</v>
      </c>
      <c r="K27" s="32" t="n">
        <f aca="false">I27*J27</f>
        <v>219550000</v>
      </c>
      <c r="L27" s="41" t="n">
        <f aca="false">IF(AND(G27&gt;0,K27&gt;0),(G27+K27)/2,MAX(G27,K27))</f>
        <v>357332500</v>
      </c>
      <c r="M27" s="35" t="n">
        <v>0.131</v>
      </c>
      <c r="N27" s="36" t="n">
        <f aca="false">IFERROR(INDEX(Assumptions!$D$11:$D$19,MATCH(D27,Assumptions!$A$11:$A$19,0)),0)</f>
        <v>0.3</v>
      </c>
      <c r="O27" s="37"/>
      <c r="P27" s="36" t="n">
        <f aca="false">IFERROR(IF(ISBLANK(O27),N27,O27),0)</f>
        <v>0.3</v>
      </c>
      <c r="Q27" s="38" t="n">
        <f aca="false">IFERROR(Assumptions!$B$5+INDEX(Assumptions!$E$11:$E$19,MATCH(D27,Assumptions!$A$11:$A$19,0)),Assumptions!$B$5)</f>
        <v>2031</v>
      </c>
      <c r="R27" s="39"/>
      <c r="S27" s="31" t="n">
        <f aca="false">IF(ISBLANK(R27),Q27,R27)</f>
        <v>2031</v>
      </c>
      <c r="T27" s="40" t="n">
        <f aca="false">L27*M27</f>
        <v>46810557.5</v>
      </c>
      <c r="U27" s="41" t="n">
        <f aca="false">P27*L27*M27</f>
        <v>14043167.25</v>
      </c>
      <c r="V27" s="32" t="n">
        <f aca="false">P27*G27*M27</f>
        <v>19458019.5</v>
      </c>
      <c r="W27" s="32" t="n">
        <f aca="false">P27*K27*M27</f>
        <v>8628315</v>
      </c>
      <c r="X27" s="32" t="n">
        <f aca="false">IFERROR(U27/(1+Assumptions!$B$6)^(S27-Assumptions!$B$5),0)</f>
        <v>6981936.04660286</v>
      </c>
      <c r="Y27" s="30" t="n">
        <v>5208000</v>
      </c>
      <c r="Z27" s="42" t="n">
        <f aca="false">IF(Y27=0,"",U27/Y27)</f>
        <v>2.69646068548387</v>
      </c>
      <c r="AA27" s="43" t="n">
        <f aca="false">E27*Assumptions!$B$8*M27</f>
        <v>33180990</v>
      </c>
      <c r="AB27" s="45" t="s">
        <v>67</v>
      </c>
      <c r="AC27" s="73" t="n">
        <f aca="false">IFERROR(INDEX(Assumptions!$F$11:$F$19,MATCH(D27,Assumptions!$A$11:$A$19,0)),0)</f>
        <v>1.5</v>
      </c>
      <c r="AD27" s="30" t="n">
        <f aca="false">Y27*AC27</f>
        <v>7812000</v>
      </c>
      <c r="AE27" s="30" t="n">
        <f aca="false">Y27+AD27</f>
        <v>13020000</v>
      </c>
      <c r="AF27" s="42" t="n">
        <f aca="false">IF(AE27=0,"",U27/AE27)</f>
        <v>1.07858427419355</v>
      </c>
      <c r="AG27" s="30"/>
    </row>
    <row r="28" customFormat="false" ht="15" hidden="false" customHeight="true" outlineLevel="0" collapsed="false">
      <c r="A28" s="26" t="s">
        <v>129</v>
      </c>
      <c r="B28" s="27" t="s">
        <v>130</v>
      </c>
      <c r="C28" s="28" t="s">
        <v>79</v>
      </c>
      <c r="D28" s="29" t="s">
        <v>66</v>
      </c>
      <c r="E28" s="30" t="n">
        <v>58020000</v>
      </c>
      <c r="F28" s="31" t="n">
        <f aca="false">COUNTIFS(Comps!$A$3:$A$700,$A28,Comps!$C$3:$C$700,"Exit",Comps!$G$3:$G$700,"Y")</f>
        <v>4</v>
      </c>
      <c r="G28" s="32" t="n">
        <f aca="false" t="array" ref="G28:G28">IFERROR(MEDIAN(IF((Comps!$A$3:$A$700=$A28)*(Comps!$C$3:$C$700="Exit")*(Comps!$G$3:$G$700="Y"),Comps!$D$3:$D$700)),0)</f>
        <v>225745000</v>
      </c>
      <c r="H28" s="31" t="n">
        <f aca="false">COUNTIFS(Comps!$A$3:$A$700,$A28,Comps!$C$3:$C$700,"Private",Comps!$G$3:$G$700,"Y")</f>
        <v>3</v>
      </c>
      <c r="I28" s="32" t="n">
        <f aca="false">IFERROR(AVERAGEIFS(Comps!$D$3:$D$700,Comps!$A$3:$A$700,$A28,Comps!$C$3:$C$700,"Private",Comps!$G$3:$G$700,"Y"),0)</f>
        <v>94810000</v>
      </c>
      <c r="J28" s="33" t="n">
        <f aca="false">Assumptions!$B$7</f>
        <v>2.5</v>
      </c>
      <c r="K28" s="32" t="n">
        <f aca="false">I28*J28</f>
        <v>237025000</v>
      </c>
      <c r="L28" s="41" t="n">
        <f aca="false">IF(AND(G28&gt;0,K28&gt;0),(G28+K28)/2,MAX(G28,K28))</f>
        <v>231385000</v>
      </c>
      <c r="M28" s="35" t="n">
        <v>0.0864</v>
      </c>
      <c r="N28" s="36" t="n">
        <f aca="false">IFERROR(INDEX(Assumptions!$D$11:$D$19,MATCH(D28,Assumptions!$A$11:$A$19,0)),0)</f>
        <v>0.3</v>
      </c>
      <c r="O28" s="37" t="n">
        <v>0.69</v>
      </c>
      <c r="P28" s="36" t="n">
        <f aca="false">IFERROR(IF(ISBLANK(O28),N28,O28),0)</f>
        <v>0.69</v>
      </c>
      <c r="Q28" s="38" t="n">
        <f aca="false">IFERROR(Assumptions!$B$5+INDEX(Assumptions!$E$11:$E$19,MATCH(D28,Assumptions!$A$11:$A$19,0)),Assumptions!$B$5)</f>
        <v>2031</v>
      </c>
      <c r="R28" s="39" t="n">
        <v>2034</v>
      </c>
      <c r="S28" s="31" t="n">
        <f aca="false">IF(ISBLANK(R28),Q28,R28)</f>
        <v>2034</v>
      </c>
      <c r="T28" s="40" t="n">
        <f aca="false">L28*M28</f>
        <v>19991664</v>
      </c>
      <c r="U28" s="41" t="n">
        <f aca="false">P28*L28*M28</f>
        <v>13794248.16</v>
      </c>
      <c r="V28" s="32" t="n">
        <f aca="false">P28*G28*M28</f>
        <v>13458013.92</v>
      </c>
      <c r="W28" s="32" t="n">
        <f aca="false">P28*K28*M28</f>
        <v>14130482.4</v>
      </c>
      <c r="X28" s="32" t="n">
        <f aca="false">IFERROR(U28/(1+Assumptions!$B$6)^(S28-Assumptions!$B$5),0)</f>
        <v>4509364.19237823</v>
      </c>
      <c r="Y28" s="30" t="n">
        <v>4200000</v>
      </c>
      <c r="Z28" s="42" t="n">
        <f aca="false">IF(Y28=0,"",U28/Y28)</f>
        <v>3.2843448</v>
      </c>
      <c r="AA28" s="43" t="n">
        <f aca="false">E28*Assumptions!$B$8*M28</f>
        <v>15038784</v>
      </c>
      <c r="AB28" s="45" t="s">
        <v>131</v>
      </c>
      <c r="AC28" s="73" t="n">
        <f aca="false">IFERROR(INDEX(Assumptions!$F$11:$F$19,MATCH(D28,Assumptions!$A$11:$A$19,0)),0)</f>
        <v>1.5</v>
      </c>
      <c r="AD28" s="30" t="n">
        <f aca="false">Y28*AC28</f>
        <v>6300000</v>
      </c>
      <c r="AE28" s="30" t="n">
        <f aca="false">Y28+AD28</f>
        <v>10500000</v>
      </c>
      <c r="AF28" s="42" t="n">
        <f aca="false">IF(AE28=0,"",U28/AE28)</f>
        <v>1.31373792</v>
      </c>
      <c r="AG28" s="30"/>
    </row>
    <row r="29" customFormat="false" ht="15" hidden="false" customHeight="true" outlineLevel="0" collapsed="false">
      <c r="A29" s="26" t="s">
        <v>132</v>
      </c>
      <c r="B29" s="27" t="s">
        <v>133</v>
      </c>
      <c r="C29" s="28" t="s">
        <v>79</v>
      </c>
      <c r="D29" s="29" t="s">
        <v>66</v>
      </c>
      <c r="E29" s="46" t="n">
        <v>43730000</v>
      </c>
      <c r="F29" s="46" t="n">
        <f aca="false">COUNTIFS(Comps!$A$3:$A$700,$A29,Comps!$C$3:$C$700,"Exit",Comps!$G$3:$G$700,"Y")</f>
        <v>3</v>
      </c>
      <c r="G29" s="46" t="n">
        <f aca="false" t="array" ref="G29:G29">IFERROR(MEDIAN(IF((Comps!$A$3:$A$700=$A29)*(Comps!$C$3:$C$700="Exit")*(Comps!$G$3:$G$700="Y"),Comps!$D$3:$D$700)),0)</f>
        <v>144020000</v>
      </c>
      <c r="H29" s="46" t="n">
        <f aca="false">COUNTIFS(Comps!$A$3:$A$700,$A29,Comps!$C$3:$C$700,"Private",Comps!$G$3:$G$700,"Y")</f>
        <v>2</v>
      </c>
      <c r="I29" s="46" t="n">
        <f aca="false">IFERROR(AVERAGEIFS(Comps!$D$3:$D$700,Comps!$A$3:$A$700,$A29,Comps!$C$3:$C$700,"Private",Comps!$G$3:$G$700,"Y"),0)</f>
        <v>97195000</v>
      </c>
      <c r="J29" s="46" t="n">
        <f aca="false">Assumptions!$B$7</f>
        <v>2.5</v>
      </c>
      <c r="K29" s="46" t="n">
        <f aca="false">I29*J29</f>
        <v>242987500</v>
      </c>
      <c r="L29" s="46" t="n">
        <f aca="false">IF(AND(G29&gt;0,K29&gt;0),(G29+K29)/2,MAX(G29,K29))</f>
        <v>193503750</v>
      </c>
      <c r="M29" s="35" t="n">
        <v>0.0309</v>
      </c>
      <c r="N29" s="36" t="n">
        <f aca="false">IFERROR(INDEX(Assumptions!$D$11:$D$19,MATCH(D29,Assumptions!$A$11:$A$19,0)),0)</f>
        <v>0.3</v>
      </c>
      <c r="O29" s="37"/>
      <c r="P29" s="36" t="n">
        <f aca="false">IFERROR(IF(ISBLANK(O29),N29,O29),0)</f>
        <v>0.3</v>
      </c>
      <c r="Q29" s="46" t="n">
        <f aca="false">IFERROR(Assumptions!$B$5+INDEX(Assumptions!$E$11:$E$19,MATCH(D29,Assumptions!$A$11:$A$19,0)),Assumptions!$B$5)</f>
        <v>2031</v>
      </c>
      <c r="R29" s="46"/>
      <c r="S29" s="46" t="n">
        <f aca="false">IF(ISBLANK(R29),Q29,R29)</f>
        <v>2031</v>
      </c>
      <c r="T29" s="46" t="n">
        <f aca="false">L29*M29</f>
        <v>5979265.875</v>
      </c>
      <c r="U29" s="46" t="n">
        <f aca="false">P29*L29*M29</f>
        <v>1793779.7625</v>
      </c>
      <c r="V29" s="46" t="n">
        <f aca="false">P29*G29*M29</f>
        <v>1335065.4</v>
      </c>
      <c r="W29" s="46" t="n">
        <f aca="false">P29*K29*M29</f>
        <v>2252494.125</v>
      </c>
      <c r="X29" s="46" t="n">
        <f aca="false">IFERROR(U29/(1+Assumptions!$B$6)^(S29-Assumptions!$B$5),0)</f>
        <v>891825.566163892</v>
      </c>
      <c r="Y29" s="30" t="n">
        <v>902000</v>
      </c>
      <c r="Z29" s="42" t="n">
        <f aca="false">IF(Y29=0,"",U29/Y29)</f>
        <v>1.9886693597561</v>
      </c>
      <c r="AA29" s="43" t="n">
        <f aca="false">E29*Assumptions!$B$8*M29</f>
        <v>4053771</v>
      </c>
      <c r="AB29" s="45" t="s">
        <v>67</v>
      </c>
      <c r="AC29" s="73" t="n">
        <f aca="false">IFERROR(INDEX(Assumptions!$F$11:$F$19,MATCH(D29,Assumptions!$A$11:$A$19,0)),0)</f>
        <v>1.5</v>
      </c>
      <c r="AD29" s="30" t="n">
        <f aca="false">Y29*AC29</f>
        <v>1353000</v>
      </c>
      <c r="AE29" s="30" t="n">
        <f aca="false">Y29+AD29</f>
        <v>2255000</v>
      </c>
      <c r="AF29" s="42" t="n">
        <f aca="false">IF(AE29=0,"",U29/AE29)</f>
        <v>0.795467743902439</v>
      </c>
      <c r="AG29" s="30"/>
    </row>
    <row r="30" customFormat="false" ht="15" hidden="false" customHeight="true" outlineLevel="0" collapsed="false">
      <c r="A30" s="26" t="s">
        <v>134</v>
      </c>
      <c r="B30" s="27" t="s">
        <v>135</v>
      </c>
      <c r="C30" s="28" t="s">
        <v>56</v>
      </c>
      <c r="D30" s="29" t="s">
        <v>70</v>
      </c>
      <c r="E30" s="30" t="n">
        <v>21340000</v>
      </c>
      <c r="F30" s="31" t="n">
        <f aca="false">COUNTIFS(Comps!$A$3:$A$700,$A30,Comps!$C$3:$C$700,"Exit",Comps!$G$3:$G$700,"Y")</f>
        <v>2</v>
      </c>
      <c r="G30" s="32" t="n">
        <f aca="false" t="array" ref="G30:G30">IFERROR(MEDIAN(IF((Comps!$A$3:$A$700=$A30)*(Comps!$C$3:$C$700="Exit")*(Comps!$G$3:$G$700="Y"),Comps!$D$3:$D$700)),0)</f>
        <v>53545000</v>
      </c>
      <c r="H30" s="31" t="n">
        <f aca="false">COUNTIFS(Comps!$A$3:$A$700,$A30,Comps!$C$3:$C$700,"Private",Comps!$G$3:$G$700,"Y")</f>
        <v>4</v>
      </c>
      <c r="I30" s="32" t="n">
        <f aca="false">IFERROR(AVERAGEIFS(Comps!$D$3:$D$700,Comps!$A$3:$A$700,$A30,Comps!$C$3:$C$700,"Private",Comps!$G$3:$G$700,"Y"),0)</f>
        <v>32620000</v>
      </c>
      <c r="J30" s="33" t="n">
        <f aca="false">Assumptions!$B$7</f>
        <v>2.5</v>
      </c>
      <c r="K30" s="32" t="n">
        <f aca="false">I30*J30</f>
        <v>81550000</v>
      </c>
      <c r="L30" s="41" t="n">
        <f aca="false">IF(AND(G30&gt;0,K30&gt;0),(G30+K30)/2,MAX(G30,K30))</f>
        <v>67547500</v>
      </c>
      <c r="M30" s="35" t="n">
        <v>0.0371</v>
      </c>
      <c r="N30" s="36" t="n">
        <f aca="false">IFERROR(INDEX(Assumptions!$D$11:$D$19,MATCH(D30,Assumptions!$A$11:$A$19,0)),0)</f>
        <v>0.72</v>
      </c>
      <c r="O30" s="37"/>
      <c r="P30" s="36" t="n">
        <f aca="false">IFERROR(IF(ISBLANK(O30),N30,O30),0)</f>
        <v>0.72</v>
      </c>
      <c r="Q30" s="38" t="n">
        <f aca="false">IFERROR(Assumptions!$B$5+INDEX(Assumptions!$E$11:$E$19,MATCH(D30,Assumptions!$A$11:$A$19,0)),Assumptions!$B$5)</f>
        <v>2028</v>
      </c>
      <c r="R30" s="39"/>
      <c r="S30" s="31" t="n">
        <f aca="false">IF(ISBLANK(R30),Q30,R30)</f>
        <v>2028</v>
      </c>
      <c r="T30" s="40" t="n">
        <f aca="false">L30*M30</f>
        <v>2506012.25</v>
      </c>
      <c r="U30" s="41" t="n">
        <f aca="false">P30*L30*M30</f>
        <v>1804328.82</v>
      </c>
      <c r="V30" s="32" t="n">
        <f aca="false">P30*G30*M30</f>
        <v>1430294.04</v>
      </c>
      <c r="W30" s="32" t="n">
        <f aca="false">P30*K30*M30</f>
        <v>2178363.6</v>
      </c>
      <c r="X30" s="32" t="n">
        <f aca="false">IFERROR(U30/(1+Assumptions!$B$6)^(S30-Assumptions!$B$5),0)</f>
        <v>1364331.81096408</v>
      </c>
      <c r="Y30" s="30" t="n">
        <v>443000</v>
      </c>
      <c r="Z30" s="42" t="n">
        <f aca="false">IF(Y30=0,"",U30/Y30)</f>
        <v>4.07297702031603</v>
      </c>
      <c r="AA30" s="43" t="n">
        <f aca="false">E30*Assumptions!$B$8*M30</f>
        <v>2375142</v>
      </c>
      <c r="AB30" s="45" t="s">
        <v>71</v>
      </c>
      <c r="AC30" s="73" t="n">
        <f aca="false">IFERROR(INDEX(Assumptions!$F$11:$F$19,MATCH(D30,Assumptions!$A$11:$A$19,0)),0)</f>
        <v>0.5</v>
      </c>
      <c r="AD30" s="30" t="n">
        <f aca="false">Y30*AC30</f>
        <v>221500</v>
      </c>
      <c r="AE30" s="30" t="n">
        <f aca="false">Y30+AD30</f>
        <v>664500</v>
      </c>
      <c r="AF30" s="42" t="n">
        <f aca="false">IF(AE30=0,"",U30/AE30)</f>
        <v>2.71531801354402</v>
      </c>
      <c r="AG30" s="30"/>
    </row>
    <row r="31" customFormat="false" ht="15" hidden="false" customHeight="true" outlineLevel="0" collapsed="false">
      <c r="A31" s="26" t="s">
        <v>136</v>
      </c>
      <c r="B31" s="27" t="s">
        <v>137</v>
      </c>
      <c r="C31" s="28" t="s">
        <v>79</v>
      </c>
      <c r="D31" s="29" t="s">
        <v>66</v>
      </c>
      <c r="E31" s="30" t="n">
        <v>37900000</v>
      </c>
      <c r="F31" s="31" t="n">
        <f aca="false">COUNTIFS(Comps!$A$3:$A$700,$A31,Comps!$C$3:$C$700,"Exit",Comps!$G$3:$G$700,"Y")</f>
        <v>6</v>
      </c>
      <c r="G31" s="32" t="n">
        <f aca="false" t="array" ref="G31:G31">IFERROR(MEDIAN(IF((Comps!$A$3:$A$700=$A31)*(Comps!$C$3:$C$700="Exit")*(Comps!$G$3:$G$700="Y"),Comps!$D$3:$D$700)),0)</f>
        <v>115540000</v>
      </c>
      <c r="H31" s="31" t="n">
        <f aca="false">COUNTIFS(Comps!$A$3:$A$700,$A31,Comps!$C$3:$C$700,"Private",Comps!$G$3:$G$700,"Y")</f>
        <v>3</v>
      </c>
      <c r="I31" s="32" t="n">
        <f aca="false">IFERROR(AVERAGEIFS(Comps!$D$3:$D$700,Comps!$A$3:$A$700,$A31,Comps!$C$3:$C$700,"Private",Comps!$G$3:$G$700,"Y"),0)</f>
        <v>82240000</v>
      </c>
      <c r="J31" s="33" t="n">
        <f aca="false">Assumptions!$B$7</f>
        <v>2.5</v>
      </c>
      <c r="K31" s="32" t="n">
        <f aca="false">I31*J31</f>
        <v>205600000</v>
      </c>
      <c r="L31" s="41" t="n">
        <f aca="false">IF(AND(G31&gt;0,K31&gt;0),(G31+K31)/2,MAX(G31,K31))</f>
        <v>160570000</v>
      </c>
      <c r="M31" s="35" t="n">
        <v>0.1625</v>
      </c>
      <c r="N31" s="36" t="n">
        <f aca="false">IFERROR(INDEX(Assumptions!$D$11:$D$19,MATCH(D31,Assumptions!$A$11:$A$19,0)),0)</f>
        <v>0.3</v>
      </c>
      <c r="O31" s="37" t="n">
        <v>0.38</v>
      </c>
      <c r="P31" s="36" t="n">
        <f aca="false">IFERROR(IF(ISBLANK(O31),N31,O31),0)</f>
        <v>0.38</v>
      </c>
      <c r="Q31" s="38" t="n">
        <f aca="false">IFERROR(Assumptions!$B$5+INDEX(Assumptions!$E$11:$E$19,MATCH(D31,Assumptions!$A$11:$A$19,0)),Assumptions!$B$5)</f>
        <v>2031</v>
      </c>
      <c r="R31" s="39"/>
      <c r="S31" s="31" t="n">
        <f aca="false">IF(ISBLANK(R31),Q31,R31)</f>
        <v>2031</v>
      </c>
      <c r="T31" s="40" t="n">
        <f aca="false">L31*M31</f>
        <v>26092625</v>
      </c>
      <c r="U31" s="41" t="n">
        <f aca="false">P31*L31*M31</f>
        <v>9915197.5</v>
      </c>
      <c r="V31" s="32" t="n">
        <f aca="false">P31*G31*M31</f>
        <v>7134595</v>
      </c>
      <c r="W31" s="32" t="n">
        <f aca="false">P31*K31*M31</f>
        <v>12695800</v>
      </c>
      <c r="X31" s="32" t="n">
        <f aca="false">IFERROR(U31/(1+Assumptions!$B$6)^(S31-Assumptions!$B$5),0)</f>
        <v>4929605.52288777</v>
      </c>
      <c r="Y31" s="30" t="n">
        <v>4464000</v>
      </c>
      <c r="Z31" s="42" t="n">
        <f aca="false">IF(Y31=0,"",U31/Y31)</f>
        <v>2.22114639336918</v>
      </c>
      <c r="AA31" s="43" t="n">
        <f aca="false">E31*Assumptions!$B$8*M31</f>
        <v>18476250</v>
      </c>
      <c r="AB31" s="45" t="s">
        <v>138</v>
      </c>
      <c r="AC31" s="73" t="n">
        <f aca="false">IFERROR(INDEX(Assumptions!$F$11:$F$19,MATCH(D31,Assumptions!$A$11:$A$19,0)),0)</f>
        <v>1.5</v>
      </c>
      <c r="AD31" s="30" t="n">
        <f aca="false">Y31*AC31</f>
        <v>6696000</v>
      </c>
      <c r="AE31" s="30" t="n">
        <f aca="false">Y31+AD31</f>
        <v>11160000</v>
      </c>
      <c r="AF31" s="42" t="n">
        <f aca="false">IF(AE31=0,"",U31/AE31)</f>
        <v>0.88845855734767</v>
      </c>
      <c r="AG31" s="30"/>
    </row>
    <row r="32" customFormat="false" ht="15" hidden="false" customHeight="true" outlineLevel="0" collapsed="false">
      <c r="A32" s="26" t="s">
        <v>139</v>
      </c>
      <c r="B32" s="27" t="s">
        <v>140</v>
      </c>
      <c r="C32" s="28" t="s">
        <v>56</v>
      </c>
      <c r="D32" s="29" t="s">
        <v>70</v>
      </c>
      <c r="E32" s="30" t="n">
        <v>13430000</v>
      </c>
      <c r="F32" s="31" t="n">
        <f aca="false">COUNTIFS(Comps!$A$3:$A$700,$A32,Comps!$C$3:$C$700,"Exit",Comps!$G$3:$G$700,"Y")</f>
        <v>3</v>
      </c>
      <c r="G32" s="32" t="n">
        <f aca="false" t="array" ref="G32:G32">IFERROR(MEDIAN(IF((Comps!$A$3:$A$700=$A32)*(Comps!$C$3:$C$700="Exit")*(Comps!$G$3:$G$700="Y"),Comps!$D$3:$D$700)),0)</f>
        <v>18920000</v>
      </c>
      <c r="H32" s="31" t="n">
        <f aca="false">COUNTIFS(Comps!$A$3:$A$700,$A32,Comps!$C$3:$C$700,"Private",Comps!$G$3:$G$700,"Y")</f>
        <v>1</v>
      </c>
      <c r="I32" s="32" t="n">
        <f aca="false">IFERROR(AVERAGEIFS(Comps!$D$3:$D$700,Comps!$A$3:$A$700,$A32,Comps!$C$3:$C$700,"Private",Comps!$G$3:$G$700,"Y"),0)</f>
        <v>9740000</v>
      </c>
      <c r="J32" s="33" t="n">
        <f aca="false">Assumptions!$B$7</f>
        <v>2.5</v>
      </c>
      <c r="K32" s="32" t="n">
        <f aca="false">I32*J32</f>
        <v>24350000</v>
      </c>
      <c r="L32" s="41" t="n">
        <f aca="false">IF(AND(G32&gt;0,K32&gt;0),(G32+K32)/2,MAX(G32,K32))</f>
        <v>21635000</v>
      </c>
      <c r="M32" s="35" t="n">
        <v>0.0711</v>
      </c>
      <c r="N32" s="36" t="n">
        <f aca="false">IFERROR(INDEX(Assumptions!$D$11:$D$19,MATCH(D32,Assumptions!$A$11:$A$19,0)),0)</f>
        <v>0.72</v>
      </c>
      <c r="O32" s="37"/>
      <c r="P32" s="36" t="n">
        <f aca="false">IFERROR(IF(ISBLANK(O32),N32,O32),0)</f>
        <v>0.72</v>
      </c>
      <c r="Q32" s="38" t="n">
        <f aca="false">IFERROR(Assumptions!$B$5+INDEX(Assumptions!$E$11:$E$19,MATCH(D32,Assumptions!$A$11:$A$19,0)),Assumptions!$B$5)</f>
        <v>2028</v>
      </c>
      <c r="R32" s="39"/>
      <c r="S32" s="31" t="n">
        <f aca="false">IF(ISBLANK(R32),Q32,R32)</f>
        <v>2028</v>
      </c>
      <c r="T32" s="40" t="n">
        <f aca="false">L32*M32</f>
        <v>1538248.5</v>
      </c>
      <c r="U32" s="41" t="n">
        <f aca="false">P32*L32*M32</f>
        <v>1107538.92</v>
      </c>
      <c r="V32" s="32" t="n">
        <f aca="false">P32*G32*M32</f>
        <v>968552.64</v>
      </c>
      <c r="W32" s="32" t="n">
        <f aca="false">P32*K32*M32</f>
        <v>1246525.2</v>
      </c>
      <c r="X32" s="32" t="n">
        <f aca="false">IFERROR(U32/(1+Assumptions!$B$6)^(S32-Assumptions!$B$5),0)</f>
        <v>837458.540642722</v>
      </c>
      <c r="Y32" s="30" t="n">
        <v>417000</v>
      </c>
      <c r="Z32" s="42" t="n">
        <f aca="false">IF(Y32=0,"",U32/Y32)</f>
        <v>2.65596863309353</v>
      </c>
      <c r="AA32" s="43" t="n">
        <f aca="false">E32*Assumptions!$B$8*M32</f>
        <v>2864619</v>
      </c>
      <c r="AB32" s="45" t="s">
        <v>71</v>
      </c>
      <c r="AC32" s="73" t="n">
        <f aca="false">IFERROR(INDEX(Assumptions!$F$11:$F$19,MATCH(D32,Assumptions!$A$11:$A$19,0)),0)</f>
        <v>0.5</v>
      </c>
      <c r="AD32" s="30" t="n">
        <f aca="false">Y32*AC32</f>
        <v>208500</v>
      </c>
      <c r="AE32" s="30" t="n">
        <f aca="false">Y32+AD32</f>
        <v>625500</v>
      </c>
      <c r="AF32" s="42" t="n">
        <f aca="false">IF(AE32=0,"",U32/AE32)</f>
        <v>1.77064575539568</v>
      </c>
      <c r="AG32" s="30"/>
    </row>
    <row r="33" customFormat="false" ht="15" hidden="false" customHeight="true" outlineLevel="0" collapsed="false">
      <c r="A33" s="26" t="s">
        <v>141</v>
      </c>
      <c r="B33" s="27" t="s">
        <v>142</v>
      </c>
      <c r="C33" s="28" t="s">
        <v>56</v>
      </c>
      <c r="D33" s="29" t="s">
        <v>143</v>
      </c>
      <c r="E33" s="30" t="n">
        <v>82520000</v>
      </c>
      <c r="F33" s="31" t="n">
        <f aca="false">COUNTIFS(Comps!$A$3:$A$700,$A33,Comps!$C$3:$C$700,"Exit",Comps!$G$3:$G$700,"Y")</f>
        <v>4</v>
      </c>
      <c r="G33" s="32" t="n">
        <f aca="false" t="array" ref="G33:G33">IFERROR(MEDIAN(IF((Comps!$A$3:$A$700=$A33)*(Comps!$C$3:$C$700="Exit")*(Comps!$G$3:$G$700="Y"),Comps!$D$3:$D$700)),0)</f>
        <v>408960000</v>
      </c>
      <c r="H33" s="31" t="n">
        <f aca="false">COUNTIFS(Comps!$A$3:$A$700,$A33,Comps!$C$3:$C$700,"Private",Comps!$G$3:$G$700,"Y")</f>
        <v>5</v>
      </c>
      <c r="I33" s="32" t="n">
        <f aca="false">IFERROR(AVERAGEIFS(Comps!$D$3:$D$700,Comps!$A$3:$A$700,$A33,Comps!$C$3:$C$700,"Private",Comps!$G$3:$G$700,"Y"),0)</f>
        <v>104762000</v>
      </c>
      <c r="J33" s="33" t="n">
        <f aca="false">Assumptions!$B$7</f>
        <v>2.5</v>
      </c>
      <c r="K33" s="32" t="n">
        <f aca="false">I33*J33</f>
        <v>261905000</v>
      </c>
      <c r="L33" s="41" t="n">
        <f aca="false">IF(AND(G33&gt;0,K33&gt;0),(G33+K33)/2,MAX(G33,K33))</f>
        <v>335432500</v>
      </c>
      <c r="M33" s="35" t="n">
        <v>0.1037</v>
      </c>
      <c r="N33" s="36" t="n">
        <f aca="false">IFERROR(INDEX(Assumptions!$D$11:$D$19,MATCH(D33,Assumptions!$A$11:$A$19,0)),0)</f>
        <v>0.62</v>
      </c>
      <c r="O33" s="37"/>
      <c r="P33" s="36" t="n">
        <f aca="false">IFERROR(IF(ISBLANK(O33),N33,O33),0)</f>
        <v>0.62</v>
      </c>
      <c r="Q33" s="38" t="n">
        <f aca="false">IFERROR(Assumptions!$B$5+INDEX(Assumptions!$E$11:$E$19,MATCH(D33,Assumptions!$A$11:$A$19,0)),Assumptions!$B$5)</f>
        <v>2029</v>
      </c>
      <c r="R33" s="39"/>
      <c r="S33" s="31" t="n">
        <f aca="false">IF(ISBLANK(R33),Q33,R33)</f>
        <v>2029</v>
      </c>
      <c r="T33" s="40" t="n">
        <f aca="false">L33*M33</f>
        <v>34784350.25</v>
      </c>
      <c r="U33" s="41" t="n">
        <f aca="false">P33*L33*M33</f>
        <v>21566297.155</v>
      </c>
      <c r="V33" s="32" t="n">
        <f aca="false">P33*G33*M33</f>
        <v>26293674.24</v>
      </c>
      <c r="W33" s="32" t="n">
        <f aca="false">P33*K33*M33</f>
        <v>16838920.07</v>
      </c>
      <c r="X33" s="32" t="n">
        <f aca="false">IFERROR(U33/(1+Assumptions!$B$6)^(S33-Assumptions!$B$5),0)</f>
        <v>14180190.4528643</v>
      </c>
      <c r="Y33" s="30" t="n">
        <v>6749000</v>
      </c>
      <c r="Z33" s="42" t="n">
        <f aca="false">IF(Y33=0,"",U33/Y33)</f>
        <v>3.19548039042821</v>
      </c>
      <c r="AA33" s="43" t="n">
        <f aca="false">E33*Assumptions!$B$8*M33</f>
        <v>25671972</v>
      </c>
      <c r="AB33" s="45" t="s">
        <v>144</v>
      </c>
      <c r="AC33" s="73" t="n">
        <f aca="false">IFERROR(INDEX(Assumptions!$F$11:$F$19,MATCH(D33,Assumptions!$A$11:$A$19,0)),0)</f>
        <v>0.75</v>
      </c>
      <c r="AD33" s="30" t="n">
        <f aca="false">Y33*AC33</f>
        <v>5061750</v>
      </c>
      <c r="AE33" s="30" t="n">
        <f aca="false">Y33+AD33</f>
        <v>11810750</v>
      </c>
      <c r="AF33" s="42" t="n">
        <f aca="false">IF(AE33=0,"",U33/AE33)</f>
        <v>1.82598879453041</v>
      </c>
      <c r="AG33" s="30"/>
    </row>
    <row r="34" customFormat="false" ht="24" hidden="false" customHeight="true" outlineLevel="0" collapsed="false">
      <c r="A34" s="26" t="s">
        <v>145</v>
      </c>
      <c r="B34" s="27" t="s">
        <v>146</v>
      </c>
      <c r="C34" s="28" t="s">
        <v>56</v>
      </c>
      <c r="D34" s="29" t="s">
        <v>70</v>
      </c>
      <c r="E34" s="30" t="n">
        <v>37020000</v>
      </c>
      <c r="F34" s="31" t="n">
        <f aca="false">COUNTIFS(Comps!$A$3:$A$700,$A34,Comps!$C$3:$C$700,"Exit",Comps!$G$3:$G$700,"Y")</f>
        <v>3</v>
      </c>
      <c r="G34" s="32" t="n">
        <f aca="false" t="array" ref="G34:G34">IFERROR(MEDIAN(IF((Comps!$A$3:$A$700=$A34)*(Comps!$C$3:$C$700="Exit")*(Comps!$G$3:$G$700="Y"),Comps!$D$3:$D$700)),0)</f>
        <v>55810000</v>
      </c>
      <c r="H34" s="31" t="n">
        <f aca="false">COUNTIFS(Comps!$A$3:$A$700,$A34,Comps!$C$3:$C$700,"Private",Comps!$G$3:$G$700,"Y")</f>
        <v>3</v>
      </c>
      <c r="I34" s="32" t="n">
        <f aca="false">IFERROR(AVERAGEIFS(Comps!$D$3:$D$700,Comps!$A$3:$A$700,$A34,Comps!$C$3:$C$700,"Private",Comps!$G$3:$G$700,"Y"),0)</f>
        <v>32596666.6666667</v>
      </c>
      <c r="J34" s="33" t="n">
        <v>1</v>
      </c>
      <c r="K34" s="32" t="n">
        <f aca="false">I34*J34</f>
        <v>32596666.6666667</v>
      </c>
      <c r="L34" s="41" t="n">
        <f aca="false">IF(AND(G34&gt;0,K34&gt;0),(G34+K34)/2,MAX(G34,K34))</f>
        <v>44203333.3333333</v>
      </c>
      <c r="M34" s="35" t="n">
        <v>0.0321</v>
      </c>
      <c r="N34" s="36" t="n">
        <f aca="false">IFERROR(INDEX(Assumptions!$D$11:$D$19,MATCH(D34,Assumptions!$A$11:$A$19,0)),0)</f>
        <v>0.72</v>
      </c>
      <c r="O34" s="37"/>
      <c r="P34" s="36" t="n">
        <f aca="false">IFERROR(IF(ISBLANK(O34),N34,O34),0)</f>
        <v>0.72</v>
      </c>
      <c r="Q34" s="38" t="n">
        <f aca="false">IFERROR(Assumptions!$B$5+INDEX(Assumptions!$E$11:$E$19,MATCH(D34,Assumptions!$A$11:$A$19,0)),Assumptions!$B$5)</f>
        <v>2028</v>
      </c>
      <c r="R34" s="39"/>
      <c r="S34" s="31" t="n">
        <f aca="false">IF(ISBLANK(R34),Q34,R34)</f>
        <v>2028</v>
      </c>
      <c r="T34" s="40" t="n">
        <f aca="false">L34*M34</f>
        <v>1418927</v>
      </c>
      <c r="U34" s="41" t="n">
        <f aca="false">P34*L34*M34</f>
        <v>1021627.44</v>
      </c>
      <c r="V34" s="32" t="n">
        <f aca="false">P34*G34*M34</f>
        <v>1289880.72</v>
      </c>
      <c r="W34" s="32" t="n">
        <f aca="false">P34*K34*M34</f>
        <v>753374.16</v>
      </c>
      <c r="X34" s="32" t="n">
        <f aca="false">IFERROR(U34/(1+Assumptions!$B$6)^(S34-Assumptions!$B$5),0)</f>
        <v>772497.119092628</v>
      </c>
      <c r="Y34" s="30" t="n">
        <v>1063000</v>
      </c>
      <c r="Z34" s="42" t="n">
        <f aca="false">IF(Y34=0,"",U34/Y34)</f>
        <v>0.961079435559737</v>
      </c>
      <c r="AA34" s="43" t="n">
        <f aca="false">E34*Assumptions!$B$8*M34</f>
        <v>3565026</v>
      </c>
      <c r="AB34" s="45" t="s">
        <v>74</v>
      </c>
      <c r="AC34" s="73" t="n">
        <f aca="false">IFERROR(INDEX(Assumptions!$F$11:$F$19,MATCH(D34,Assumptions!$A$11:$A$19,0)),0)</f>
        <v>0.5</v>
      </c>
      <c r="AD34" s="30" t="n">
        <f aca="false">Y34*AC34</f>
        <v>531500</v>
      </c>
      <c r="AE34" s="30" t="n">
        <f aca="false">Y34+AD34</f>
        <v>1594500</v>
      </c>
      <c r="AF34" s="42" t="n">
        <f aca="false">IF(AE34=0,"",U34/AE34)</f>
        <v>0.640719623706491</v>
      </c>
      <c r="AG34" s="30"/>
    </row>
    <row r="35" customFormat="false" ht="27" hidden="false" customHeight="true" outlineLevel="0" collapsed="false">
      <c r="A35" s="26" t="s">
        <v>147</v>
      </c>
      <c r="B35" s="27" t="s">
        <v>148</v>
      </c>
      <c r="C35" s="28" t="s">
        <v>56</v>
      </c>
      <c r="D35" s="53" t="s">
        <v>149</v>
      </c>
      <c r="E35" s="53" t="n">
        <v>900000000</v>
      </c>
      <c r="F35" s="53" t="n">
        <f aca="false">COUNTIFS(Comps!$A$3:$A$700,$A35,Comps!$C$3:$C$700,"Exit",Comps!$G$3:$G$700,"Y")</f>
        <v>1</v>
      </c>
      <c r="G35" s="53" t="n">
        <f aca="false" t="array" ref="G35:G35">IFERROR(MEDIAN(IF((Comps!$A$3:$A$700=$A35)*(Comps!$C$3:$C$700="Exit")*(Comps!$G$3:$G$700="Y"),Comps!$D$3:$D$700)),0)</f>
        <v>900000000</v>
      </c>
      <c r="H35" s="53" t="n">
        <f aca="false">COUNTIFS(Comps!$A$3:$A$700,$A35,Comps!$C$3:$C$700,"Private",Comps!$G$3:$G$700,"Y")</f>
        <v>0</v>
      </c>
      <c r="I35" s="53" t="n">
        <f aca="false">IFERROR(AVERAGEIFS(Comps!$D$3:$D$700,Comps!$A$3:$A$700,$A35,Comps!$C$3:$C$700,"Private",Comps!$G$3:$G$700,"Y"),0)</f>
        <v>0</v>
      </c>
      <c r="J35" s="53" t="n">
        <f aca="false">Assumptions!$B$7</f>
        <v>2.5</v>
      </c>
      <c r="K35" s="53" t="n">
        <f aca="false">I35*J35</f>
        <v>0</v>
      </c>
      <c r="L35" s="53" t="n">
        <f aca="false">IF(AND(G35&gt;0,K35&gt;0),(G35+K35)/2,MAX(G35,K35))</f>
        <v>900000000</v>
      </c>
      <c r="M35" s="53" t="n">
        <v>0.035</v>
      </c>
      <c r="N35" s="53" t="n">
        <f aca="false">IFERROR(INDEX(Assumptions!$D$11:$D$19,MATCH(D35,Assumptions!$A$11:$A$19,0)),0)</f>
        <v>1</v>
      </c>
      <c r="O35" s="53"/>
      <c r="P35" s="54" t="n">
        <f aca="false">IFERROR(IF(ISBLANK(O35),N35,O35),0)</f>
        <v>1</v>
      </c>
      <c r="Q35" s="53" t="n">
        <f aca="false">IFERROR(Assumptions!$B$5+INDEX(Assumptions!$E$11:$E$19,MATCH(D35,Assumptions!$A$11:$A$19,0)),Assumptions!$B$5)</f>
        <v>2026</v>
      </c>
      <c r="R35" s="53"/>
      <c r="S35" s="53" t="n">
        <f aca="false">IF(ISBLANK(R35),Q35,R35)</f>
        <v>2026</v>
      </c>
      <c r="T35" s="53" t="n">
        <f aca="false">L35*M35</f>
        <v>31500000</v>
      </c>
      <c r="U35" s="53" t="n">
        <f aca="false">P35*L35*M35</f>
        <v>31500000</v>
      </c>
      <c r="V35" s="53" t="n">
        <f aca="false">P35*G35*M35</f>
        <v>31500000</v>
      </c>
      <c r="W35" s="53" t="n">
        <f aca="false">P35*K35*M35</f>
        <v>0</v>
      </c>
      <c r="X35" s="53" t="n">
        <f aca="false">IFERROR(U35/(1+Assumptions!$B$6)^(S35-Assumptions!$B$5),0)</f>
        <v>31500000</v>
      </c>
      <c r="Y35" s="30" t="n">
        <v>7553000</v>
      </c>
      <c r="Z35" s="75" t="n">
        <f aca="false">IF(Y35=0,"",U35/Y35)</f>
        <v>4.17052826691381</v>
      </c>
      <c r="AA35" s="54" t="n">
        <f aca="false">E35*Assumptions!$B$8*M35</f>
        <v>94500000</v>
      </c>
      <c r="AB35" s="76" t="s">
        <v>150</v>
      </c>
      <c r="AC35" s="77" t="n">
        <f aca="false">IFERROR(INDEX(Assumptions!$F$11:$F$19,MATCH(D35,Assumptions!$A$11:$A$19,0)),0)</f>
        <v>0</v>
      </c>
      <c r="AD35" s="30" t="n">
        <f aca="false">Y35*AC35</f>
        <v>0</v>
      </c>
      <c r="AE35" s="30" t="n">
        <f aca="false">Y35+AD35</f>
        <v>7553000</v>
      </c>
      <c r="AF35" s="42" t="n">
        <f aca="false">IF(AE35=0,"",U35/AE35)</f>
        <v>4.17052826691381</v>
      </c>
      <c r="AG35" s="30"/>
    </row>
    <row r="36" customFormat="false" ht="15" hidden="false" customHeight="true" outlineLevel="0" collapsed="false">
      <c r="A36" s="26" t="s">
        <v>151</v>
      </c>
      <c r="B36" s="27" t="s">
        <v>152</v>
      </c>
      <c r="C36" s="28" t="s">
        <v>79</v>
      </c>
      <c r="D36" s="29" t="s">
        <v>57</v>
      </c>
      <c r="E36" s="30" t="n">
        <v>21170000</v>
      </c>
      <c r="F36" s="31" t="n">
        <f aca="false">COUNTIFS(Comps!$A$3:$A$700,$A36,Comps!$C$3:$C$700,"Exit",Comps!$G$3:$G$700,"Y")</f>
        <v>6</v>
      </c>
      <c r="G36" s="32" t="n">
        <f aca="false" t="array" ref="G36:G36">IFERROR(MEDIAN(IF((Comps!$A$3:$A$700=$A36)*(Comps!$C$3:$C$700="Exit")*(Comps!$G$3:$G$700="Y"),Comps!$D$3:$D$700)),0)</f>
        <v>108115000</v>
      </c>
      <c r="H36" s="31" t="n">
        <f aca="false">COUNTIFS(Comps!$A$3:$A$700,$A36,Comps!$C$3:$C$700,"Private",Comps!$G$3:$G$700,"Y")</f>
        <v>2</v>
      </c>
      <c r="I36" s="32" t="n">
        <f aca="false">IFERROR(AVERAGEIFS(Comps!$D$3:$D$700,Comps!$A$3:$A$700,$A36,Comps!$C$3:$C$700,"Private",Comps!$G$3:$G$700,"Y"),0)</f>
        <v>28280000</v>
      </c>
      <c r="J36" s="33" t="n">
        <f aca="false">Assumptions!$B$7</f>
        <v>2.5</v>
      </c>
      <c r="K36" s="32" t="n">
        <f aca="false">I36*J36</f>
        <v>70700000</v>
      </c>
      <c r="L36" s="41" t="n">
        <f aca="false">IF(AND(G36&gt;0,K36&gt;0),(G36+K36)/2,MAX(G36,K36))</f>
        <v>89407500</v>
      </c>
      <c r="M36" s="35" t="n">
        <v>0.1196</v>
      </c>
      <c r="N36" s="36" t="n">
        <f aca="false">IFERROR(INDEX(Assumptions!$D$11:$D$19,MATCH(D36,Assumptions!$A$11:$A$19,0)),0)</f>
        <v>0.13</v>
      </c>
      <c r="O36" s="37" t="n">
        <v>0.76</v>
      </c>
      <c r="P36" s="36" t="n">
        <f aca="false">IFERROR(IF(ISBLANK(O36),N36,O36),0)</f>
        <v>0.76</v>
      </c>
      <c r="Q36" s="38" t="n">
        <f aca="false">IFERROR(Assumptions!$B$5+INDEX(Assumptions!$E$11:$E$19,MATCH(D36,Assumptions!$A$11:$A$19,0)),Assumptions!$B$5)</f>
        <v>2033</v>
      </c>
      <c r="R36" s="39"/>
      <c r="S36" s="31" t="n">
        <f aca="false">IF(ISBLANK(R36),Q36,R36)</f>
        <v>2033</v>
      </c>
      <c r="T36" s="40" t="n">
        <f aca="false">L36*M36</f>
        <v>10693137</v>
      </c>
      <c r="U36" s="41" t="n">
        <f aca="false">P36*L36*M36</f>
        <v>8126784.12</v>
      </c>
      <c r="V36" s="32" t="n">
        <f aca="false">P36*G36*M36</f>
        <v>9827221.04</v>
      </c>
      <c r="W36" s="32" t="n">
        <f aca="false">P36*K36*M36</f>
        <v>6426347.2</v>
      </c>
      <c r="X36" s="32" t="n">
        <f aca="false">IFERROR(U36/(1+Assumptions!$B$6)^(S36-Assumptions!$B$5),0)</f>
        <v>3055159.1661668</v>
      </c>
      <c r="Y36" s="30" t="n">
        <v>2051000</v>
      </c>
      <c r="Z36" s="42" t="n">
        <f aca="false">IF(Y36=0,"",U36/Y36)</f>
        <v>3.96235208191126</v>
      </c>
      <c r="AA36" s="43" t="n">
        <f aca="false">E36*Assumptions!$B$8*M36</f>
        <v>7595796</v>
      </c>
      <c r="AB36" s="45" t="s">
        <v>153</v>
      </c>
      <c r="AC36" s="73" t="n">
        <f aca="false">IFERROR(INDEX(Assumptions!$F$11:$F$19,MATCH(D36,Assumptions!$A$11:$A$19,0)),0)</f>
        <v>2</v>
      </c>
      <c r="AD36" s="30" t="n">
        <f aca="false">Y36*AC36</f>
        <v>4102000</v>
      </c>
      <c r="AE36" s="30" t="n">
        <f aca="false">Y36+AD36</f>
        <v>6153000</v>
      </c>
      <c r="AF36" s="42" t="n">
        <f aca="false">IF(AE36=0,"",U36/AE36)</f>
        <v>1.32078402730375</v>
      </c>
      <c r="AG36" s="30"/>
    </row>
    <row r="37" customFormat="false" ht="15" hidden="false" customHeight="true" outlineLevel="0" collapsed="false">
      <c r="A37" s="26" t="s">
        <v>154</v>
      </c>
      <c r="B37" s="27" t="s">
        <v>155</v>
      </c>
      <c r="C37" s="28" t="s">
        <v>65</v>
      </c>
      <c r="D37" s="29" t="s">
        <v>57</v>
      </c>
      <c r="E37" s="30" t="n">
        <v>20760000</v>
      </c>
      <c r="F37" s="31" t="n">
        <f aca="false">COUNTIFS(Comps!$A$3:$A$700,$A37,Comps!$C$3:$C$700,"Exit",Comps!$G$3:$G$700,"Y")</f>
        <v>2</v>
      </c>
      <c r="G37" s="32" t="n">
        <f aca="false" t="array" ref="G37:G37">IFERROR(MEDIAN(IF((Comps!$A$3:$A$700=$A37)*(Comps!$C$3:$C$700="Exit")*(Comps!$G$3:$G$700="Y"),Comps!$D$3:$D$700)),0)</f>
        <v>62545000</v>
      </c>
      <c r="H37" s="31" t="n">
        <f aca="false">COUNTIFS(Comps!$A$3:$A$700,$A37,Comps!$C$3:$C$700,"Private",Comps!$G$3:$G$700,"Y")</f>
        <v>1</v>
      </c>
      <c r="I37" s="32" t="n">
        <f aca="false">IFERROR(AVERAGEIFS(Comps!$D$3:$D$700,Comps!$A$3:$A$700,$A37,Comps!$C$3:$C$700,"Private",Comps!$G$3:$G$700,"Y"),0)</f>
        <v>28950000</v>
      </c>
      <c r="J37" s="33" t="n">
        <f aca="false">Assumptions!$B$7</f>
        <v>2.5</v>
      </c>
      <c r="K37" s="32" t="n">
        <f aca="false">I37*J37</f>
        <v>72375000</v>
      </c>
      <c r="L37" s="41" t="n">
        <f aca="false">IF(AND(G37&gt;0,K37&gt;0),(G37+K37)/2,MAX(G37,K37))</f>
        <v>67460000</v>
      </c>
      <c r="M37" s="35" t="n">
        <v>0.0191</v>
      </c>
      <c r="N37" s="36" t="n">
        <f aca="false">IFERROR(INDEX(Assumptions!$D$11:$D$19,MATCH(D37,Assumptions!$A$11:$A$19,0)),0)</f>
        <v>0.13</v>
      </c>
      <c r="O37" s="37"/>
      <c r="P37" s="36" t="n">
        <f aca="false">IFERROR(IF(ISBLANK(O37),N37,O37),0)</f>
        <v>0.13</v>
      </c>
      <c r="Q37" s="38" t="n">
        <f aca="false">IFERROR(Assumptions!$B$5+INDEX(Assumptions!$E$11:$E$19,MATCH(D37,Assumptions!$A$11:$A$19,0)),Assumptions!$B$5)</f>
        <v>2033</v>
      </c>
      <c r="R37" s="39"/>
      <c r="S37" s="31" t="n">
        <f aca="false">IF(ISBLANK(R37),Q37,R37)</f>
        <v>2033</v>
      </c>
      <c r="T37" s="40" t="n">
        <f aca="false">L37*M37</f>
        <v>1288486</v>
      </c>
      <c r="U37" s="41" t="n">
        <f aca="false">P37*L37*M37</f>
        <v>167503.18</v>
      </c>
      <c r="V37" s="32" t="n">
        <f aca="false">P37*G37*M37</f>
        <v>155299.235</v>
      </c>
      <c r="W37" s="32" t="n">
        <f aca="false">P37*K37*M37</f>
        <v>179707.125</v>
      </c>
      <c r="X37" s="32" t="n">
        <f aca="false">IFERROR(U37/(1+Assumptions!$B$6)^(S37-Assumptions!$B$5),0)</f>
        <v>62970.649666905</v>
      </c>
      <c r="Y37" s="30" t="n">
        <v>168000</v>
      </c>
      <c r="Z37" s="42" t="n">
        <f aca="false">IF(Y37=0,"",U37/Y37)</f>
        <v>0.997042738095238</v>
      </c>
      <c r="AA37" s="43" t="n">
        <f aca="false">E37*Assumptions!$B$8*M37</f>
        <v>1189548</v>
      </c>
      <c r="AB37" s="45" t="s">
        <v>58</v>
      </c>
      <c r="AC37" s="73" t="n">
        <f aca="false">IFERROR(INDEX(Assumptions!$F$11:$F$19,MATCH(D37,Assumptions!$A$11:$A$19,0)),0)</f>
        <v>2</v>
      </c>
      <c r="AD37" s="30" t="n">
        <f aca="false">Y37*AC37</f>
        <v>336000</v>
      </c>
      <c r="AE37" s="30" t="n">
        <f aca="false">Y37+AD37</f>
        <v>504000</v>
      </c>
      <c r="AF37" s="42" t="n">
        <f aca="false">IF(AE37=0,"",U37/AE37)</f>
        <v>0.332347579365079</v>
      </c>
      <c r="AG37" s="30"/>
    </row>
    <row r="38" customFormat="false" ht="15" hidden="false" customHeight="true" outlineLevel="0" collapsed="false">
      <c r="A38" s="26" t="s">
        <v>156</v>
      </c>
      <c r="B38" s="27" t="s">
        <v>157</v>
      </c>
      <c r="C38" s="28" t="s">
        <v>79</v>
      </c>
      <c r="D38" s="29" t="s">
        <v>70</v>
      </c>
      <c r="E38" s="30" t="n">
        <v>37020000</v>
      </c>
      <c r="F38" s="31" t="n">
        <f aca="false">COUNTIFS(Comps!$A$3:$A$700,$A38,Comps!$C$3:$C$700,"Exit",Comps!$G$3:$G$700,"Y")</f>
        <v>6</v>
      </c>
      <c r="G38" s="32" t="n">
        <f aca="false" t="array" ref="G38:G38">IFERROR(MEDIAN(IF((Comps!$A$3:$A$700=$A38)*(Comps!$C$3:$C$700="Exit")*(Comps!$G$3:$G$700="Y"),Comps!$D$3:$D$700)),0)</f>
        <v>75165000</v>
      </c>
      <c r="H38" s="31" t="n">
        <f aca="false">COUNTIFS(Comps!$A$3:$A$700,$A38,Comps!$C$3:$C$700,"Private",Comps!$G$3:$G$700,"Y")</f>
        <v>1</v>
      </c>
      <c r="I38" s="32" t="n">
        <f aca="false">IFERROR(AVERAGEIFS(Comps!$D$3:$D$700,Comps!$A$3:$A$700,$A38,Comps!$C$3:$C$700,"Private",Comps!$G$3:$G$700,"Y"),0)</f>
        <v>20940000</v>
      </c>
      <c r="J38" s="33" t="n">
        <f aca="false">Assumptions!$B$7</f>
        <v>2.5</v>
      </c>
      <c r="K38" s="32" t="n">
        <f aca="false">I38*J38</f>
        <v>52350000</v>
      </c>
      <c r="L38" s="41" t="n">
        <f aca="false">IF(AND(G38&gt;0,K38&gt;0),(G38+K38)/2,MAX(G38,K38))</f>
        <v>63757500</v>
      </c>
      <c r="M38" s="35" t="n">
        <v>0.0255</v>
      </c>
      <c r="N38" s="36" t="n">
        <f aca="false">IFERROR(INDEX(Assumptions!$D$11:$D$19,MATCH(D38,Assumptions!$A$11:$A$19,0)),0)</f>
        <v>0.72</v>
      </c>
      <c r="O38" s="37"/>
      <c r="P38" s="36" t="n">
        <f aca="false">IFERROR(IF(ISBLANK(O38),N38,O38),0)</f>
        <v>0.72</v>
      </c>
      <c r="Q38" s="38" t="n">
        <f aca="false">IFERROR(Assumptions!$B$5+INDEX(Assumptions!$E$11:$E$19,MATCH(D38,Assumptions!$A$11:$A$19,0)),Assumptions!$B$5)</f>
        <v>2028</v>
      </c>
      <c r="R38" s="39"/>
      <c r="S38" s="31" t="n">
        <f aca="false">IF(ISBLANK(R38),Q38,R38)</f>
        <v>2028</v>
      </c>
      <c r="T38" s="40" t="n">
        <f aca="false">L38*M38</f>
        <v>1625816.25</v>
      </c>
      <c r="U38" s="41" t="n">
        <f aca="false">P38*L38*M38</f>
        <v>1170587.7</v>
      </c>
      <c r="V38" s="32" t="n">
        <f aca="false">P38*G38*M38</f>
        <v>1380029.4</v>
      </c>
      <c r="W38" s="32" t="n">
        <f aca="false">P38*K38*M38</f>
        <v>961146</v>
      </c>
      <c r="X38" s="32" t="n">
        <f aca="false">IFERROR(U38/(1+Assumptions!$B$6)^(S38-Assumptions!$B$5),0)</f>
        <v>885132.476370511</v>
      </c>
      <c r="Y38" s="30" t="n">
        <v>693000</v>
      </c>
      <c r="Z38" s="42" t="n">
        <f aca="false">IF(Y38=0,"",U38/Y38)</f>
        <v>1.68915974025974</v>
      </c>
      <c r="AA38" s="43" t="n">
        <f aca="false">E38*Assumptions!$B$8*M38</f>
        <v>2832030</v>
      </c>
      <c r="AB38" s="45" t="s">
        <v>71</v>
      </c>
      <c r="AC38" s="73" t="n">
        <f aca="false">IFERROR(INDEX(Assumptions!$F$11:$F$19,MATCH(D38,Assumptions!$A$11:$A$19,0)),0)</f>
        <v>0.5</v>
      </c>
      <c r="AD38" s="30" t="n">
        <f aca="false">Y38*AC38</f>
        <v>346500</v>
      </c>
      <c r="AE38" s="30" t="n">
        <f aca="false">Y38+AD38</f>
        <v>1039500</v>
      </c>
      <c r="AF38" s="42" t="n">
        <f aca="false">IF(AE38=0,"",U38/AE38)</f>
        <v>1.12610649350649</v>
      </c>
      <c r="AG38" s="30"/>
    </row>
    <row r="39" customFormat="false" ht="15" hidden="false" customHeight="true" outlineLevel="0" collapsed="false">
      <c r="A39" s="26" t="s">
        <v>158</v>
      </c>
      <c r="B39" s="27" t="s">
        <v>159</v>
      </c>
      <c r="C39" s="28" t="s">
        <v>56</v>
      </c>
      <c r="D39" s="29" t="s">
        <v>70</v>
      </c>
      <c r="E39" s="30" t="n">
        <v>35690000</v>
      </c>
      <c r="F39" s="31" t="n">
        <f aca="false">COUNTIFS(Comps!$A$3:$A$700,$A39,Comps!$C$3:$C$700,"Exit",Comps!$G$3:$G$700,"Y")</f>
        <v>2</v>
      </c>
      <c r="G39" s="32" t="n">
        <f aca="false" t="array" ref="G39:G39">IFERROR(MEDIAN(IF((Comps!$A$3:$A$700=$A39)*(Comps!$C$3:$C$700="Exit")*(Comps!$G$3:$G$700="Y"),Comps!$D$3:$D$700)),0)</f>
        <v>63315000</v>
      </c>
      <c r="H39" s="31" t="n">
        <f aca="false">COUNTIFS(Comps!$A$3:$A$700,$A39,Comps!$C$3:$C$700,"Private",Comps!$G$3:$G$700,"Y")</f>
        <v>2</v>
      </c>
      <c r="I39" s="32" t="n">
        <f aca="false">IFERROR(AVERAGEIFS(Comps!$D$3:$D$700,Comps!$A$3:$A$700,$A39,Comps!$C$3:$C$700,"Private",Comps!$G$3:$G$700,"Y"),0)</f>
        <v>31800000</v>
      </c>
      <c r="J39" s="33" t="n">
        <f aca="false">Assumptions!$B$7</f>
        <v>2.5</v>
      </c>
      <c r="K39" s="32" t="n">
        <f aca="false">I39*J39</f>
        <v>79500000</v>
      </c>
      <c r="L39" s="41" t="n">
        <f aca="false">IF(AND(G39&gt;0,K39&gt;0),(G39+K39)/2,MAX(G39,K39))</f>
        <v>71407500</v>
      </c>
      <c r="M39" s="35" t="n">
        <v>0.0365</v>
      </c>
      <c r="N39" s="36" t="n">
        <f aca="false">IFERROR(INDEX(Assumptions!$D$11:$D$19,MATCH(D39,Assumptions!$A$11:$A$19,0)),0)</f>
        <v>0.72</v>
      </c>
      <c r="O39" s="37"/>
      <c r="P39" s="36" t="n">
        <f aca="false">IFERROR(IF(ISBLANK(O39),N39,O39),0)</f>
        <v>0.72</v>
      </c>
      <c r="Q39" s="38" t="n">
        <f aca="false">IFERROR(Assumptions!$B$5+INDEX(Assumptions!$E$11:$E$19,MATCH(D39,Assumptions!$A$11:$A$19,0)),Assumptions!$B$5)</f>
        <v>2028</v>
      </c>
      <c r="R39" s="39"/>
      <c r="S39" s="31" t="n">
        <f aca="false">IF(ISBLANK(R39),Q39,R39)</f>
        <v>2028</v>
      </c>
      <c r="T39" s="40" t="n">
        <f aca="false">L39*M39</f>
        <v>2606373.75</v>
      </c>
      <c r="U39" s="41" t="n">
        <f aca="false">P39*L39*M39</f>
        <v>1876589.1</v>
      </c>
      <c r="V39" s="32" t="n">
        <f aca="false">P39*G39*M39</f>
        <v>1663918.2</v>
      </c>
      <c r="W39" s="32" t="n">
        <f aca="false">P39*K39*M39</f>
        <v>2089260</v>
      </c>
      <c r="X39" s="32" t="n">
        <f aca="false">IFERROR(U39/(1+Assumptions!$B$6)^(S39-Assumptions!$B$5),0)</f>
        <v>1418970.96408318</v>
      </c>
      <c r="Y39" s="30" t="n">
        <v>745000</v>
      </c>
      <c r="Z39" s="42" t="n">
        <f aca="false">IF(Y39=0,"",U39/Y39)</f>
        <v>2.51891154362416</v>
      </c>
      <c r="AA39" s="43" t="n">
        <f aca="false">E39*Assumptions!$B$8*M39</f>
        <v>3908055</v>
      </c>
      <c r="AB39" s="45" t="s">
        <v>71</v>
      </c>
      <c r="AC39" s="73" t="n">
        <f aca="false">IFERROR(INDEX(Assumptions!$F$11:$F$19,MATCH(D39,Assumptions!$A$11:$A$19,0)),0)</f>
        <v>0.5</v>
      </c>
      <c r="AD39" s="30" t="n">
        <f aca="false">Y39*AC39</f>
        <v>372500</v>
      </c>
      <c r="AE39" s="30" t="n">
        <f aca="false">Y39+AD39</f>
        <v>1117500</v>
      </c>
      <c r="AF39" s="42" t="n">
        <f aca="false">IF(AE39=0,"",U39/AE39)</f>
        <v>1.67927436241611</v>
      </c>
      <c r="AG39" s="30"/>
    </row>
    <row r="40" customFormat="false" ht="25.5" hidden="false" customHeight="true" outlineLevel="0" collapsed="false">
      <c r="A40" s="26" t="s">
        <v>160</v>
      </c>
      <c r="B40" s="27" t="s">
        <v>161</v>
      </c>
      <c r="C40" s="28" t="s">
        <v>79</v>
      </c>
      <c r="D40" s="29" t="s">
        <v>70</v>
      </c>
      <c r="E40" s="30" t="n">
        <v>20330000</v>
      </c>
      <c r="F40" s="60" t="n">
        <f aca="false">COUNTIFS(Comps!$A$3:$A$700,$A40,Comps!$C$3:$C$700,"Exit",Comps!$G$3:$G$700,"Y")</f>
        <v>4</v>
      </c>
      <c r="G40" s="0" t="n">
        <f aca="false" t="array" ref="G40:G40">IFERROR(MEDIAN(IF((Comps!$A$3:$A$700=$A40)*(Comps!$C$3:$C$700="Exit")*(Comps!$G$3:$G$700="Y"),Comps!$D$3:$D$700)),0)</f>
        <v>43950000</v>
      </c>
      <c r="H40" s="0" t="n">
        <f aca="false">COUNTIFS(Comps!$A$3:$A$700,$A40,Comps!$C$3:$C$700,"Private",Comps!$G$3:$G$700,"Y")</f>
        <v>3</v>
      </c>
      <c r="I40" s="0" t="n">
        <f aca="false">IFERROR(AVERAGEIFS(Comps!$D$3:$D$700,Comps!$A$3:$A$700,$A40,Comps!$C$3:$C$700,"Private",Comps!$G$3:$G$700,"Y"),0)</f>
        <v>35160000</v>
      </c>
      <c r="J40" s="78" t="n">
        <f aca="false">Assumptions!$B$7</f>
        <v>2.5</v>
      </c>
      <c r="K40" s="0" t="n">
        <f aca="false">I40*J40</f>
        <v>87900000</v>
      </c>
      <c r="L40" s="0" t="n">
        <f aca="false">IF(AND(G40&gt;0,K40&gt;0),(G40+K40)/2,MAX(G40,K40))</f>
        <v>65925000</v>
      </c>
      <c r="M40" s="35" t="n">
        <v>0.0685</v>
      </c>
      <c r="N40" s="36" t="n">
        <f aca="false">IFERROR(INDEX(Assumptions!$D$11:$D$19,MATCH(D40,Assumptions!$A$11:$A$19,0)),0)</f>
        <v>0.72</v>
      </c>
      <c r="O40" s="37" t="n">
        <v>0.37</v>
      </c>
      <c r="P40" s="61" t="n">
        <f aca="false">IFERROR(IF(ISBLANK(O40),N40,O40),0)</f>
        <v>0.37</v>
      </c>
      <c r="Q40" s="62" t="n">
        <f aca="false">IFERROR(Assumptions!$B$5+INDEX(Assumptions!$E$11:$E$19,MATCH(D40,Assumptions!$A$11:$A$19,0)),Assumptions!$B$5)</f>
        <v>2028</v>
      </c>
      <c r="R40" s="62"/>
      <c r="S40" s="62" t="n">
        <f aca="false">IF(ISBLANK(R40),Q40,R40)</f>
        <v>2028</v>
      </c>
      <c r="T40" s="62" t="n">
        <f aca="false">L40*M40</f>
        <v>4515862.5</v>
      </c>
      <c r="U40" s="62" t="n">
        <f aca="false">P40*L40*M40</f>
        <v>1670869.125</v>
      </c>
      <c r="V40" s="62" t="n">
        <f aca="false">P40*G40*M40</f>
        <v>1113912.75</v>
      </c>
      <c r="W40" s="62" t="n">
        <f aca="false">P40*K40*M40</f>
        <v>2227825.5</v>
      </c>
      <c r="X40" s="62" t="n">
        <f aca="false">IFERROR(U40/(1+Assumptions!$B$6)^(S40-Assumptions!$B$5),0)</f>
        <v>1263417.10775047</v>
      </c>
      <c r="Y40" s="30" t="n">
        <v>1058000</v>
      </c>
      <c r="Z40" s="42" t="n">
        <f aca="false">IF(Y40=0,"",U40/Y40)</f>
        <v>1.57927138468809</v>
      </c>
      <c r="AA40" s="43" t="n">
        <f aca="false">E40*Assumptions!$B$8*M40</f>
        <v>4177815</v>
      </c>
      <c r="AB40" s="63" t="s">
        <v>162</v>
      </c>
      <c r="AC40" s="73" t="n">
        <f aca="false">IFERROR(INDEX(Assumptions!$F$11:$F$19,MATCH(D40,Assumptions!$A$11:$A$19,0)),0)</f>
        <v>0.5</v>
      </c>
      <c r="AD40" s="30" t="n">
        <f aca="false">Y40*AC40</f>
        <v>529000</v>
      </c>
      <c r="AE40" s="30" t="n">
        <f aca="false">Y40+AD40</f>
        <v>1587000</v>
      </c>
      <c r="AF40" s="42" t="n">
        <f aca="false">IF(AE40=0,"",U40/AE40)</f>
        <v>1.05284758979206</v>
      </c>
      <c r="AG40" s="30"/>
    </row>
    <row r="41" customFormat="false" ht="15" hidden="false" customHeight="true" outlineLevel="0" collapsed="false">
      <c r="A41" s="26" t="s">
        <v>163</v>
      </c>
      <c r="B41" s="27" t="s">
        <v>164</v>
      </c>
      <c r="C41" s="28" t="s">
        <v>79</v>
      </c>
      <c r="D41" s="29" t="s">
        <v>70</v>
      </c>
      <c r="E41" s="30" t="n">
        <v>46330000</v>
      </c>
      <c r="F41" s="31" t="n">
        <f aca="false">COUNTIFS(Comps!$A$3:$A$700,$A41,Comps!$C$3:$C$700,"Exit",Comps!$G$3:$G$700,"Y")</f>
        <v>6</v>
      </c>
      <c r="G41" s="32" t="n">
        <f aca="false" t="array" ref="G41:G41">IFERROR(MEDIAN(IF((Comps!$A$3:$A$700=$A41)*(Comps!$C$3:$C$700="Exit")*(Comps!$G$3:$G$700="Y"),Comps!$D$3:$D$700)),0)</f>
        <v>111020000</v>
      </c>
      <c r="H41" s="31" t="n">
        <f aca="false">COUNTIFS(Comps!$A$3:$A$700,$A41,Comps!$C$3:$C$700,"Private",Comps!$G$3:$G$700,"Y")</f>
        <v>2</v>
      </c>
      <c r="I41" s="32" t="n">
        <f aca="false">IFERROR(AVERAGEIFS(Comps!$D$3:$D$700,Comps!$A$3:$A$700,$A41,Comps!$C$3:$C$700,"Private",Comps!$G$3:$G$700,"Y"),0)</f>
        <v>29850000</v>
      </c>
      <c r="J41" s="33" t="n">
        <f aca="false">Assumptions!$B$7</f>
        <v>2.5</v>
      </c>
      <c r="K41" s="32" t="n">
        <f aca="false">I41*J41</f>
        <v>74625000</v>
      </c>
      <c r="L41" s="41" t="n">
        <f aca="false">IF(AND(G41&gt;0,K41&gt;0),(G41+K41)/2,MAX(G41,K41))</f>
        <v>92822500</v>
      </c>
      <c r="M41" s="35" t="n">
        <v>0.0534</v>
      </c>
      <c r="N41" s="36" t="n">
        <f aca="false">IFERROR(INDEX(Assumptions!$D$11:$D$19,MATCH(D41,Assumptions!$A$11:$A$19,0)),0)</f>
        <v>0.72</v>
      </c>
      <c r="O41" s="37"/>
      <c r="P41" s="36" t="n">
        <f aca="false">IFERROR(IF(ISBLANK(O41),N41,O41),0)</f>
        <v>0.72</v>
      </c>
      <c r="Q41" s="38" t="n">
        <f aca="false">IFERROR(Assumptions!$B$5+INDEX(Assumptions!$E$11:$E$19,MATCH(D41,Assumptions!$A$11:$A$19,0)),Assumptions!$B$5)</f>
        <v>2028</v>
      </c>
      <c r="R41" s="39"/>
      <c r="S41" s="31" t="n">
        <f aca="false">IF(ISBLANK(R41),Q41,R41)</f>
        <v>2028</v>
      </c>
      <c r="T41" s="40" t="n">
        <f aca="false">L41*M41</f>
        <v>4956721.5</v>
      </c>
      <c r="U41" s="41" t="n">
        <f aca="false">P41*L41*M41</f>
        <v>3568839.48</v>
      </c>
      <c r="V41" s="32" t="n">
        <f aca="false">P41*G41*M41</f>
        <v>4268496.96</v>
      </c>
      <c r="W41" s="32" t="n">
        <f aca="false">P41*K41*M41</f>
        <v>2869182</v>
      </c>
      <c r="X41" s="32" t="n">
        <f aca="false">IFERROR(U41/(1+Assumptions!$B$6)^(S41-Assumptions!$B$5),0)</f>
        <v>2698555.37240076</v>
      </c>
      <c r="Y41" s="30" t="n">
        <v>1527000</v>
      </c>
      <c r="Z41" s="42" t="n">
        <f aca="false">IF(Y41=0,"",U41/Y41)</f>
        <v>2.33715748526523</v>
      </c>
      <c r="AA41" s="43" t="n">
        <f aca="false">E41*Assumptions!$B$8*M41</f>
        <v>7422066</v>
      </c>
      <c r="AB41" s="45" t="s">
        <v>71</v>
      </c>
      <c r="AC41" s="73" t="n">
        <f aca="false">IFERROR(INDEX(Assumptions!$F$11:$F$19,MATCH(D41,Assumptions!$A$11:$A$19,0)),0)</f>
        <v>0.5</v>
      </c>
      <c r="AD41" s="30" t="n">
        <f aca="false">Y41*AC41</f>
        <v>763500</v>
      </c>
      <c r="AE41" s="30" t="n">
        <f aca="false">Y41+AD41</f>
        <v>2290500</v>
      </c>
      <c r="AF41" s="42" t="n">
        <f aca="false">IF(AE41=0,"",U41/AE41)</f>
        <v>1.55810499017682</v>
      </c>
      <c r="AG41" s="30"/>
    </row>
    <row r="42" customFormat="false" ht="15" hidden="false" customHeight="true" outlineLevel="0" collapsed="false">
      <c r="A42" s="26" t="s">
        <v>165</v>
      </c>
      <c r="B42" s="27" t="s">
        <v>166</v>
      </c>
      <c r="C42" s="28" t="s">
        <v>65</v>
      </c>
      <c r="D42" s="29" t="s">
        <v>118</v>
      </c>
      <c r="E42" s="30" t="n">
        <v>20020000</v>
      </c>
      <c r="F42" s="31" t="n">
        <f aca="false">COUNTIFS(Comps!$A$3:$A$700,$A42,Comps!$C$3:$C$700,"Exit",Comps!$G$3:$G$700,"Y")</f>
        <v>3</v>
      </c>
      <c r="G42" s="32" t="n">
        <f aca="false" t="array" ref="G42:G42">IFERROR(MEDIAN(IF((Comps!$A$3:$A$700=$A42)*(Comps!$C$3:$C$700="Exit")*(Comps!$G$3:$G$700="Y"),Comps!$D$3:$D$700)),0)</f>
        <v>40480000</v>
      </c>
      <c r="H42" s="31" t="n">
        <f aca="false">COUNTIFS(Comps!$A$3:$A$700,$A42,Comps!$C$3:$C$700,"Private",Comps!$G$3:$G$700,"Y")</f>
        <v>2</v>
      </c>
      <c r="I42" s="32" t="n">
        <f aca="false">IFERROR(AVERAGEIFS(Comps!$D$3:$D$700,Comps!$A$3:$A$700,$A42,Comps!$C$3:$C$700,"Private",Comps!$G$3:$G$700,"Y"),0)</f>
        <v>33495000</v>
      </c>
      <c r="J42" s="33" t="n">
        <f aca="false">Assumptions!$B$7</f>
        <v>2.5</v>
      </c>
      <c r="K42" s="32" t="n">
        <f aca="false">I42*J42</f>
        <v>83737500</v>
      </c>
      <c r="L42" s="41" t="n">
        <f aca="false">IF(AND(G42&gt;0,K42&gt;0),(G42+K42)/2,MAX(G42,K42))</f>
        <v>62108750</v>
      </c>
      <c r="M42" s="35" t="n">
        <v>0.0588</v>
      </c>
      <c r="N42" s="36" t="n">
        <f aca="false">IFERROR(INDEX(Assumptions!$D$11:$D$19,MATCH(D42,Assumptions!$A$11:$A$19,0)),0)</f>
        <v>0.2</v>
      </c>
      <c r="O42" s="37"/>
      <c r="P42" s="36" t="n">
        <f aca="false">IFERROR(IF(ISBLANK(O42),N42,O42),0)</f>
        <v>0.2</v>
      </c>
      <c r="Q42" s="38" t="n">
        <f aca="false">IFERROR(Assumptions!$B$5+INDEX(Assumptions!$E$11:$E$19,MATCH(D42,Assumptions!$A$11:$A$19,0)),Assumptions!$B$5)</f>
        <v>2032</v>
      </c>
      <c r="R42" s="39"/>
      <c r="S42" s="31" t="n">
        <f aca="false">IF(ISBLANK(R42),Q42,R42)</f>
        <v>2032</v>
      </c>
      <c r="T42" s="40" t="n">
        <f aca="false">L42*M42</f>
        <v>3651994.5</v>
      </c>
      <c r="U42" s="41" t="n">
        <f aca="false">P42*L42*M42</f>
        <v>730398.9</v>
      </c>
      <c r="V42" s="32" t="n">
        <f aca="false">P42*G42*M42</f>
        <v>476044.8</v>
      </c>
      <c r="W42" s="32" t="n">
        <f aca="false">P42*K42*M42</f>
        <v>984753</v>
      </c>
      <c r="X42" s="32" t="n">
        <f aca="false">IFERROR(U42/(1+Assumptions!$B$6)^(S42-Assumptions!$B$5),0)</f>
        <v>315771.600493445</v>
      </c>
      <c r="Y42" s="30" t="n">
        <v>658000</v>
      </c>
      <c r="Z42" s="42" t="n">
        <f aca="false">IF(Y42=0,"",U42/Y42)</f>
        <v>1.11002872340426</v>
      </c>
      <c r="AA42" s="43" t="n">
        <f aca="false">E42*Assumptions!$B$8*M42</f>
        <v>3531528</v>
      </c>
      <c r="AB42" s="45" t="s">
        <v>119</v>
      </c>
      <c r="AC42" s="73" t="n">
        <f aca="false">IFERROR(INDEX(Assumptions!$F$11:$F$19,MATCH(D42,Assumptions!$A$11:$A$19,0)),0)</f>
        <v>1.5</v>
      </c>
      <c r="AD42" s="30" t="n">
        <f aca="false">Y42*AC42</f>
        <v>987000</v>
      </c>
      <c r="AE42" s="30" t="n">
        <f aca="false">Y42+AD42</f>
        <v>1645000</v>
      </c>
      <c r="AF42" s="42" t="n">
        <f aca="false">IF(AE42=0,"",U42/AE42)</f>
        <v>0.444011489361702</v>
      </c>
      <c r="AG42" s="30"/>
    </row>
    <row r="43" customFormat="false" ht="15" hidden="false" customHeight="true" outlineLevel="0" collapsed="false">
      <c r="A43" s="26" t="s">
        <v>167</v>
      </c>
      <c r="B43" s="27" t="s">
        <v>168</v>
      </c>
      <c r="C43" s="28" t="s">
        <v>65</v>
      </c>
      <c r="D43" s="29" t="s">
        <v>57</v>
      </c>
      <c r="E43" s="30" t="n">
        <v>11590000</v>
      </c>
      <c r="F43" s="31" t="n">
        <f aca="false">COUNTIFS(Comps!$A$3:$A$700,$A43,Comps!$C$3:$C$700,"Exit",Comps!$G$3:$G$700,"Y")</f>
        <v>3</v>
      </c>
      <c r="G43" s="32" t="n">
        <f aca="false" t="array" ref="G43:G43">IFERROR(MEDIAN(IF((Comps!$A$3:$A$700=$A43)*(Comps!$C$3:$C$700="Exit")*(Comps!$G$3:$G$700="Y"),Comps!$D$3:$D$700)),0)</f>
        <v>47210000</v>
      </c>
      <c r="H43" s="31" t="n">
        <f aca="false">COUNTIFS(Comps!$A$3:$A$700,$A43,Comps!$C$3:$C$700,"Private",Comps!$G$3:$G$700,"Y")</f>
        <v>2</v>
      </c>
      <c r="I43" s="32" t="n">
        <f aca="false">IFERROR(AVERAGEIFS(Comps!$D$3:$D$700,Comps!$A$3:$A$700,$A43,Comps!$C$3:$C$700,"Private",Comps!$G$3:$G$700,"Y"),0)</f>
        <v>9875000</v>
      </c>
      <c r="J43" s="33" t="n">
        <f aca="false">Assumptions!$B$7</f>
        <v>2.5</v>
      </c>
      <c r="K43" s="32" t="n">
        <f aca="false">I43*J43</f>
        <v>24687500</v>
      </c>
      <c r="L43" s="41" t="n">
        <f aca="false">IF(AND(G43&gt;0,K43&gt;0),(G43+K43)/2,MAX(G43,K43))</f>
        <v>35948750</v>
      </c>
      <c r="M43" s="35" t="n">
        <v>0.0375</v>
      </c>
      <c r="N43" s="36" t="n">
        <f aca="false">IFERROR(INDEX(Assumptions!$D$11:$D$19,MATCH(D43,Assumptions!$A$11:$A$19,0)),0)</f>
        <v>0.13</v>
      </c>
      <c r="O43" s="37"/>
      <c r="P43" s="36" t="n">
        <f aca="false">IFERROR(IF(ISBLANK(O43),N43,O43),0)</f>
        <v>0.13</v>
      </c>
      <c r="Q43" s="38" t="n">
        <f aca="false">IFERROR(Assumptions!$B$5+INDEX(Assumptions!$E$11:$E$19,MATCH(D43,Assumptions!$A$11:$A$19,0)),Assumptions!$B$5)</f>
        <v>2033</v>
      </c>
      <c r="R43" s="39"/>
      <c r="S43" s="31" t="n">
        <f aca="false">IF(ISBLANK(R43),Q43,R43)</f>
        <v>2033</v>
      </c>
      <c r="T43" s="40" t="n">
        <f aca="false">L43*M43</f>
        <v>1348078.125</v>
      </c>
      <c r="U43" s="41" t="n">
        <f aca="false">P43*L43*M43</f>
        <v>175250.15625</v>
      </c>
      <c r="V43" s="32" t="n">
        <f aca="false">P43*G43*M43</f>
        <v>230148.75</v>
      </c>
      <c r="W43" s="32" t="n">
        <f aca="false">P43*K43*M43</f>
        <v>120351.5625</v>
      </c>
      <c r="X43" s="32" t="n">
        <f aca="false">IFERROR(U43/(1+Assumptions!$B$6)^(S43-Assumptions!$B$5),0)</f>
        <v>65883.0249866845</v>
      </c>
      <c r="Y43" s="30" t="n">
        <v>362000</v>
      </c>
      <c r="Z43" s="42" t="n">
        <f aca="false">IF(Y43=0,"",U43/Y43)</f>
        <v>0.484116453729282</v>
      </c>
      <c r="AA43" s="43" t="n">
        <f aca="false">E43*Assumptions!$B$8*M43</f>
        <v>1303875</v>
      </c>
      <c r="AB43" s="45" t="s">
        <v>58</v>
      </c>
      <c r="AC43" s="73" t="n">
        <f aca="false">IFERROR(INDEX(Assumptions!$F$11:$F$19,MATCH(D43,Assumptions!$A$11:$A$19,0)),0)</f>
        <v>2</v>
      </c>
      <c r="AD43" s="30" t="n">
        <f aca="false">Y43*AC43</f>
        <v>724000</v>
      </c>
      <c r="AE43" s="30" t="n">
        <f aca="false">Y43+AD43</f>
        <v>1086000</v>
      </c>
      <c r="AF43" s="42" t="n">
        <f aca="false">IF(AE43=0,"",U43/AE43)</f>
        <v>0.161372151243094</v>
      </c>
      <c r="AG43" s="30"/>
    </row>
    <row r="44" customFormat="false" ht="15" hidden="false" customHeight="true" outlineLevel="0" collapsed="false">
      <c r="A44" s="26" t="s">
        <v>169</v>
      </c>
      <c r="B44" s="27" t="s">
        <v>170</v>
      </c>
      <c r="C44" s="28" t="s">
        <v>56</v>
      </c>
      <c r="D44" s="29" t="s">
        <v>57</v>
      </c>
      <c r="E44" s="30" t="n">
        <v>21300000</v>
      </c>
      <c r="F44" s="31" t="n">
        <f aca="false">COUNTIFS(Comps!$A$3:$A$700,$A44,Comps!$C$3:$C$700,"Exit",Comps!$G$3:$G$700,"Y")</f>
        <v>4</v>
      </c>
      <c r="G44" s="32" t="n">
        <f aca="false" t="array" ref="G44:G44">IFERROR(MEDIAN(IF((Comps!$A$3:$A$700=$A44)*(Comps!$C$3:$C$700="Exit")*(Comps!$G$3:$G$700="Y"),Comps!$D$3:$D$700)),0)</f>
        <v>212085000</v>
      </c>
      <c r="H44" s="31" t="n">
        <f aca="false">COUNTIFS(Comps!$A$3:$A$700,$A44,Comps!$C$3:$C$700,"Private",Comps!$G$3:$G$700,"Y")</f>
        <v>0</v>
      </c>
      <c r="I44" s="32" t="n">
        <f aca="false">IFERROR(AVERAGEIFS(Comps!$D$3:$D$700,Comps!$A$3:$A$700,$A44,Comps!$C$3:$C$700,"Private",Comps!$G$3:$G$700,"Y"),0)</f>
        <v>0</v>
      </c>
      <c r="J44" s="33" t="n">
        <f aca="false">Assumptions!$B$7</f>
        <v>2.5</v>
      </c>
      <c r="K44" s="32" t="n">
        <f aca="false">I44*J44</f>
        <v>0</v>
      </c>
      <c r="L44" s="41" t="n">
        <f aca="false">IF(AND(G44&gt;0,K44&gt;0),(G44+K44)/2,MAX(G44,K44))</f>
        <v>212085000</v>
      </c>
      <c r="M44" s="35" t="n">
        <v>0.055</v>
      </c>
      <c r="N44" s="36" t="n">
        <f aca="false">IFERROR(INDEX(Assumptions!$D$11:$D$19,MATCH(D44,Assumptions!$A$11:$A$19,0)),0)</f>
        <v>0.13</v>
      </c>
      <c r="O44" s="37" t="n">
        <v>0.5</v>
      </c>
      <c r="P44" s="36" t="n">
        <f aca="false">IFERROR(IF(ISBLANK(O44),N44,O44),0)</f>
        <v>0.5</v>
      </c>
      <c r="Q44" s="38" t="n">
        <f aca="false">IFERROR(Assumptions!$B$5+INDEX(Assumptions!$E$11:$E$19,MATCH(D44,Assumptions!$A$11:$A$19,0)),Assumptions!$B$5)</f>
        <v>2033</v>
      </c>
      <c r="R44" s="39"/>
      <c r="S44" s="31" t="n">
        <f aca="false">IF(ISBLANK(R44),Q44,R44)</f>
        <v>2033</v>
      </c>
      <c r="T44" s="40" t="n">
        <f aca="false">L44*M44</f>
        <v>11664675</v>
      </c>
      <c r="U44" s="41" t="n">
        <f aca="false">P44*L44*M44</f>
        <v>5832337.5</v>
      </c>
      <c r="V44" s="32" t="n">
        <f aca="false">P44*G44*M44</f>
        <v>5832337.5</v>
      </c>
      <c r="W44" s="32" t="n">
        <f aca="false">P44*K44*M44</f>
        <v>0</v>
      </c>
      <c r="X44" s="32" t="n">
        <f aca="false">IFERROR(U44/(1+Assumptions!$B$6)^(S44-Assumptions!$B$5),0)</f>
        <v>2192591.69558245</v>
      </c>
      <c r="Y44" s="30" t="n">
        <v>670000</v>
      </c>
      <c r="Z44" s="42" t="n">
        <f aca="false">IF(Y44=0,"",U44/Y44)</f>
        <v>8.70498134328358</v>
      </c>
      <c r="AA44" s="43" t="n">
        <f aca="false">E44*Assumptions!$B$8*M44</f>
        <v>3514500</v>
      </c>
      <c r="AB44" s="45" t="s">
        <v>171</v>
      </c>
      <c r="AC44" s="73" t="n">
        <f aca="false">IFERROR(INDEX(Assumptions!$F$11:$F$19,MATCH(D44,Assumptions!$A$11:$A$19,0)),0)</f>
        <v>2</v>
      </c>
      <c r="AD44" s="30" t="n">
        <f aca="false">Y44*AC44</f>
        <v>1340000</v>
      </c>
      <c r="AE44" s="30" t="n">
        <f aca="false">Y44+AD44</f>
        <v>2010000</v>
      </c>
      <c r="AF44" s="42" t="n">
        <f aca="false">IF(AE44=0,"",U44/AE44)</f>
        <v>2.90166044776119</v>
      </c>
      <c r="AG44" s="30"/>
    </row>
    <row r="45" customFormat="false" ht="15" hidden="false" customHeight="true" outlineLevel="0" collapsed="false">
      <c r="A45" s="64" t="s">
        <v>172</v>
      </c>
      <c r="T45" s="79" t="n">
        <f aca="false">SUM(T3:T44)</f>
        <v>378744220.916667</v>
      </c>
      <c r="U45" s="79" t="n">
        <f aca="false">SUM(U3:U44)</f>
        <v>191700296.225208</v>
      </c>
      <c r="V45" s="79" t="n">
        <f aca="false">SUM(V3:V44)</f>
        <v>206114003.74</v>
      </c>
      <c r="W45" s="79" t="n">
        <f aca="false">SUM(W3:W44)</f>
        <v>133496033.400417</v>
      </c>
      <c r="X45" s="79" t="n">
        <f aca="false">SUM(X3:X44)</f>
        <v>122746115.760033</v>
      </c>
      <c r="Y45" s="79" t="n">
        <f aca="false">SUM(Y3:Y44)</f>
        <v>79962000</v>
      </c>
      <c r="Z45" s="80" t="n">
        <f aca="false">IF(Y45=0,"",U45/Y45)</f>
        <v>2.39739246423562</v>
      </c>
      <c r="AA45" s="79" t="n">
        <f aca="false">SUM(AA3:AA44)</f>
        <v>425399298</v>
      </c>
      <c r="AB45" s="81"/>
      <c r="AC45" s="81"/>
      <c r="AD45" s="82" t="n">
        <f aca="false">SUM(AD3:AD44)</f>
        <v>82042750</v>
      </c>
      <c r="AE45" s="83" t="n">
        <f aca="false">SUM(AE3:AE44)</f>
        <v>162004750</v>
      </c>
      <c r="AF45" s="80" t="n">
        <f aca="false">IF(AE45=0,"",U45/AE45)</f>
        <v>1.18330046634564</v>
      </c>
    </row>
    <row r="46" customFormat="false" ht="15" hidden="false" customHeight="true" outlineLevel="0" collapsed="false"/>
    <row r="50" customFormat="false" ht="15" hidden="false" customHeight="true" outlineLevel="0" collapsed="false">
      <c r="M50" s="71"/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5" min="4" style="0" width="16"/>
    <col collapsed="false" customWidth="true" hidden="false" outlineLevel="0" max="6" min="6" style="0" width="12.5"/>
  </cols>
  <sheetData>
    <row r="1" customFormat="false" ht="19.5" hidden="false" customHeight="true" outlineLevel="0" collapsed="false">
      <c r="A1" s="8" t="s">
        <v>185</v>
      </c>
    </row>
    <row r="2" customFormat="false" ht="15" hidden="false" customHeight="true" outlineLevel="0" collapsed="false">
      <c r="A2" s="84"/>
    </row>
    <row r="4" customFormat="false" ht="15" hidden="false" customHeight="true" outlineLevel="0" collapsed="false">
      <c r="A4" s="20" t="s">
        <v>186</v>
      </c>
    </row>
    <row r="5" customFormat="false" ht="15" hidden="false" customHeight="true" outlineLevel="0" collapsed="false">
      <c r="A5" s="85" t="s">
        <v>187</v>
      </c>
      <c r="B5" s="86" t="n">
        <v>2026</v>
      </c>
    </row>
    <row r="6" customFormat="false" ht="15" hidden="false" customHeight="true" outlineLevel="0" collapsed="false">
      <c r="A6" s="85" t="s">
        <v>188</v>
      </c>
      <c r="B6" s="87" t="n">
        <v>0.15</v>
      </c>
    </row>
    <row r="7" customFormat="false" ht="23.25" hidden="false" customHeight="true" outlineLevel="0" collapsed="false">
      <c r="A7" s="85" t="s">
        <v>189</v>
      </c>
      <c r="B7" s="88" t="n">
        <v>2.5</v>
      </c>
      <c r="C7" s="89" t="s">
        <v>190</v>
      </c>
    </row>
    <row r="8" customFormat="false" ht="15" hidden="false" customHeight="true" outlineLevel="0" collapsed="false">
      <c r="A8" s="85" t="s">
        <v>191</v>
      </c>
      <c r="B8" s="88" t="n">
        <v>3</v>
      </c>
      <c r="C8" s="89" t="s">
        <v>192</v>
      </c>
    </row>
    <row r="9" customFormat="false" ht="15" hidden="false" customHeight="true" outlineLevel="0" collapsed="false">
      <c r="A9" s="20" t="s">
        <v>193</v>
      </c>
    </row>
    <row r="10" customFormat="false" ht="15" hidden="false" customHeight="true" outlineLevel="0" collapsed="false">
      <c r="A10" s="90" t="s">
        <v>27</v>
      </c>
      <c r="B10" s="90" t="s">
        <v>194</v>
      </c>
      <c r="C10" s="90" t="s">
        <v>195</v>
      </c>
      <c r="D10" s="90" t="s">
        <v>196</v>
      </c>
      <c r="E10" s="91" t="s">
        <v>197</v>
      </c>
      <c r="F10" s="92" t="s">
        <v>198</v>
      </c>
    </row>
    <row r="11" customFormat="false" ht="15" hidden="false" customHeight="true" outlineLevel="0" collapsed="false">
      <c r="A11" s="93" t="s">
        <v>105</v>
      </c>
      <c r="B11" s="10" t="s">
        <v>199</v>
      </c>
      <c r="C11" s="94" t="s">
        <v>200</v>
      </c>
      <c r="D11" s="95" t="n">
        <v>0.08</v>
      </c>
      <c r="E11" s="86" t="n">
        <v>9</v>
      </c>
      <c r="F11" s="96" t="n">
        <v>2.5</v>
      </c>
    </row>
    <row r="12" customFormat="false" ht="15" hidden="false" customHeight="true" outlineLevel="0" collapsed="false">
      <c r="A12" s="93" t="s">
        <v>57</v>
      </c>
      <c r="B12" s="10" t="s">
        <v>201</v>
      </c>
      <c r="C12" s="94" t="s">
        <v>202</v>
      </c>
      <c r="D12" s="95" t="n">
        <v>0.13</v>
      </c>
      <c r="E12" s="86" t="n">
        <v>7</v>
      </c>
      <c r="F12" s="96" t="n">
        <v>2</v>
      </c>
    </row>
    <row r="13" customFormat="false" ht="15" hidden="false" customHeight="true" outlineLevel="0" collapsed="false">
      <c r="A13" s="93" t="s">
        <v>118</v>
      </c>
      <c r="B13" s="10" t="s">
        <v>203</v>
      </c>
      <c r="C13" s="94" t="s">
        <v>204</v>
      </c>
      <c r="D13" s="95" t="n">
        <v>0.2</v>
      </c>
      <c r="E13" s="86" t="n">
        <v>6</v>
      </c>
      <c r="F13" s="96" t="n">
        <v>1.5</v>
      </c>
    </row>
    <row r="14" customFormat="false" ht="15" hidden="false" customHeight="true" outlineLevel="0" collapsed="false">
      <c r="A14" s="93" t="s">
        <v>66</v>
      </c>
      <c r="B14" s="10" t="s">
        <v>205</v>
      </c>
      <c r="C14" s="94" t="s">
        <v>206</v>
      </c>
      <c r="D14" s="95" t="n">
        <v>0.3</v>
      </c>
      <c r="E14" s="86" t="n">
        <v>5</v>
      </c>
      <c r="F14" s="96" t="n">
        <v>1.5</v>
      </c>
    </row>
    <row r="15" customFormat="false" ht="15" hidden="false" customHeight="true" outlineLevel="0" collapsed="false">
      <c r="A15" s="93" t="s">
        <v>114</v>
      </c>
      <c r="B15" s="10" t="s">
        <v>207</v>
      </c>
      <c r="C15" s="94" t="s">
        <v>208</v>
      </c>
      <c r="D15" s="95" t="n">
        <v>0.45</v>
      </c>
      <c r="E15" s="86" t="n">
        <v>4</v>
      </c>
      <c r="F15" s="96" t="n">
        <v>1</v>
      </c>
    </row>
    <row r="16" customFormat="false" ht="15" hidden="false" customHeight="true" outlineLevel="0" collapsed="false">
      <c r="A16" s="93" t="s">
        <v>143</v>
      </c>
      <c r="B16" s="10" t="s">
        <v>209</v>
      </c>
      <c r="C16" s="94" t="s">
        <v>210</v>
      </c>
      <c r="D16" s="95" t="n">
        <v>0.62</v>
      </c>
      <c r="E16" s="86" t="n">
        <v>3</v>
      </c>
      <c r="F16" s="96" t="n">
        <v>0.75</v>
      </c>
    </row>
    <row r="17" customFormat="false" ht="15" hidden="false" customHeight="true" outlineLevel="0" collapsed="false">
      <c r="A17" s="93" t="s">
        <v>70</v>
      </c>
      <c r="B17" s="10" t="s">
        <v>211</v>
      </c>
      <c r="C17" s="94" t="s">
        <v>212</v>
      </c>
      <c r="D17" s="95" t="n">
        <v>0.72</v>
      </c>
      <c r="E17" s="86" t="n">
        <v>2</v>
      </c>
      <c r="F17" s="96" t="n">
        <v>0.5</v>
      </c>
    </row>
    <row r="18" customFormat="false" ht="15" hidden="false" customHeight="true" outlineLevel="0" collapsed="false">
      <c r="A18" s="93" t="s">
        <v>61</v>
      </c>
      <c r="B18" s="10" t="s">
        <v>213</v>
      </c>
      <c r="C18" s="94" t="s">
        <v>214</v>
      </c>
      <c r="D18" s="95" t="n">
        <v>0.03</v>
      </c>
      <c r="E18" s="86" t="n">
        <v>1</v>
      </c>
      <c r="F18" s="96" t="n">
        <v>0</v>
      </c>
    </row>
    <row r="19" customFormat="false" ht="15" hidden="false" customHeight="true" outlineLevel="0" collapsed="false">
      <c r="A19" s="93" t="s">
        <v>149</v>
      </c>
      <c r="B19" s="10" t="s">
        <v>215</v>
      </c>
      <c r="C19" s="94" t="s">
        <v>216</v>
      </c>
      <c r="D19" s="95" t="n">
        <v>1</v>
      </c>
      <c r="E19" s="86" t="n">
        <v>0</v>
      </c>
      <c r="F19" s="96" t="n">
        <v>0</v>
      </c>
    </row>
    <row r="20" customFormat="false" ht="15" hidden="false" customHeight="false" outlineLevel="0" collapsed="false">
      <c r="F20" s="84"/>
    </row>
    <row r="22" customFormat="false" ht="15" hidden="false" customHeight="true" outlineLevel="0" collapsed="false">
      <c r="A22" s="9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536"/>
  <sheetViews>
    <sheetView showFormulas="false" showGridLines="false" showRowColHeaders="true" showZeros="true" rightToLeft="false" tabSelected="false" showOutlineSymbols="true" defaultGridColor="true" view="normal" topLeftCell="A320" colorId="64" zoomScale="125" zoomScaleNormal="125" zoomScalePageLayoutView="100" workbookViewId="0">
      <selection pane="topLeft" activeCell="B318" activeCellId="0" sqref="B318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5" hidden="false" customHeight="true" outlineLevel="0" collapsed="false">
      <c r="A1" s="20" t="s">
        <v>217</v>
      </c>
    </row>
    <row r="2" customFormat="false" ht="21.75" hidden="false" customHeight="true" outlineLevel="0" collapsed="false">
      <c r="A2" s="24" t="s">
        <v>218</v>
      </c>
      <c r="B2" s="24" t="s">
        <v>219</v>
      </c>
      <c r="C2" s="24" t="s">
        <v>220</v>
      </c>
      <c r="D2" s="24" t="s">
        <v>221</v>
      </c>
      <c r="E2" s="24" t="s">
        <v>222</v>
      </c>
      <c r="F2" s="24" t="s">
        <v>223</v>
      </c>
      <c r="G2" s="24" t="s">
        <v>224</v>
      </c>
      <c r="H2" s="24" t="s">
        <v>225</v>
      </c>
    </row>
    <row r="3" customFormat="false" ht="15" hidden="true" customHeight="true" outlineLevel="0" collapsed="false">
      <c r="A3" s="98" t="s">
        <v>54</v>
      </c>
      <c r="B3" s="98" t="s">
        <v>226</v>
      </c>
      <c r="C3" s="28" t="s">
        <v>227</v>
      </c>
      <c r="D3" s="30" t="n">
        <v>172030000</v>
      </c>
      <c r="E3" s="28" t="n">
        <v>2025</v>
      </c>
      <c r="F3" s="98" t="s">
        <v>228</v>
      </c>
      <c r="G3" s="28" t="s">
        <v>229</v>
      </c>
      <c r="H3" s="28" t="s">
        <v>230</v>
      </c>
    </row>
    <row r="4" customFormat="false" ht="15" hidden="true" customHeight="true" outlineLevel="0" collapsed="false">
      <c r="A4" s="98" t="s">
        <v>54</v>
      </c>
      <c r="B4" s="98" t="s">
        <v>231</v>
      </c>
      <c r="C4" s="28" t="s">
        <v>227</v>
      </c>
      <c r="D4" s="30" t="n">
        <v>38930000</v>
      </c>
      <c r="E4" s="28" t="n">
        <v>2023</v>
      </c>
      <c r="F4" s="98" t="s">
        <v>228</v>
      </c>
      <c r="G4" s="28" t="s">
        <v>232</v>
      </c>
      <c r="H4" s="28" t="s">
        <v>233</v>
      </c>
    </row>
    <row r="5" customFormat="false" ht="15" hidden="true" customHeight="true" outlineLevel="0" collapsed="false">
      <c r="A5" s="98" t="s">
        <v>54</v>
      </c>
      <c r="B5" s="98" t="s">
        <v>234</v>
      </c>
      <c r="C5" s="28" t="s">
        <v>227</v>
      </c>
      <c r="D5" s="30" t="n">
        <v>41090000</v>
      </c>
      <c r="E5" s="28" t="n">
        <v>2023</v>
      </c>
      <c r="F5" s="98" t="s">
        <v>228</v>
      </c>
      <c r="G5" s="28" t="s">
        <v>229</v>
      </c>
      <c r="H5" s="28" t="s">
        <v>235</v>
      </c>
    </row>
    <row r="6" customFormat="false" ht="27.75" hidden="true" customHeight="true" outlineLevel="0" collapsed="false">
      <c r="A6" s="98" t="s">
        <v>54</v>
      </c>
      <c r="B6" s="98" t="s">
        <v>236</v>
      </c>
      <c r="C6" s="28" t="s">
        <v>227</v>
      </c>
      <c r="D6" s="30" t="n">
        <v>82910000</v>
      </c>
      <c r="E6" s="28" t="n">
        <v>2025</v>
      </c>
      <c r="F6" s="98" t="s">
        <v>228</v>
      </c>
      <c r="G6" s="28" t="s">
        <v>229</v>
      </c>
      <c r="H6" s="28" t="s">
        <v>230</v>
      </c>
    </row>
    <row r="7" customFormat="false" ht="15" hidden="true" customHeight="true" outlineLevel="0" collapsed="false">
      <c r="A7" s="98" t="s">
        <v>54</v>
      </c>
      <c r="B7" s="98" t="s">
        <v>237</v>
      </c>
      <c r="C7" s="28" t="s">
        <v>238</v>
      </c>
      <c r="D7" s="30" t="n">
        <v>7310000</v>
      </c>
      <c r="E7" s="28" t="n">
        <v>2023</v>
      </c>
      <c r="F7" s="98" t="s">
        <v>239</v>
      </c>
      <c r="G7" s="28" t="s">
        <v>232</v>
      </c>
      <c r="H7" s="28" t="s">
        <v>240</v>
      </c>
    </row>
    <row r="8" customFormat="false" ht="15" hidden="true" customHeight="true" outlineLevel="0" collapsed="false">
      <c r="A8" s="98" t="s">
        <v>54</v>
      </c>
      <c r="B8" s="98" t="s">
        <v>241</v>
      </c>
      <c r="C8" s="28" t="s">
        <v>238</v>
      </c>
      <c r="D8" s="30" t="n">
        <v>13040000</v>
      </c>
      <c r="E8" s="28" t="n">
        <v>2026</v>
      </c>
      <c r="F8" s="98" t="s">
        <v>239</v>
      </c>
      <c r="G8" s="28" t="s">
        <v>232</v>
      </c>
      <c r="H8" s="28" t="s">
        <v>240</v>
      </c>
    </row>
    <row r="9" customFormat="false" ht="15" hidden="true" customHeight="true" outlineLevel="0" collapsed="false">
      <c r="A9" s="98" t="s">
        <v>54</v>
      </c>
      <c r="B9" s="98" t="s">
        <v>242</v>
      </c>
      <c r="C9" s="28" t="s">
        <v>238</v>
      </c>
      <c r="D9" s="30" t="n">
        <v>21910000</v>
      </c>
      <c r="E9" s="28" t="n">
        <v>2023</v>
      </c>
      <c r="F9" s="98" t="s">
        <v>239</v>
      </c>
      <c r="G9" s="28" t="s">
        <v>229</v>
      </c>
      <c r="H9" s="28" t="s">
        <v>243</v>
      </c>
    </row>
    <row r="10" customFormat="false" ht="15" hidden="true" customHeight="true" outlineLevel="0" collapsed="false">
      <c r="A10" s="98" t="s">
        <v>54</v>
      </c>
      <c r="B10" s="98" t="s">
        <v>244</v>
      </c>
      <c r="C10" s="28" t="s">
        <v>238</v>
      </c>
      <c r="D10" s="30" t="n">
        <v>33210000</v>
      </c>
      <c r="E10" s="28" t="n">
        <v>2024</v>
      </c>
      <c r="F10" s="98" t="s">
        <v>239</v>
      </c>
      <c r="G10" s="28" t="s">
        <v>232</v>
      </c>
      <c r="H10" s="28" t="s">
        <v>240</v>
      </c>
    </row>
    <row r="11" customFormat="false" ht="15" hidden="true" customHeight="true" outlineLevel="0" collapsed="false">
      <c r="A11" s="98" t="s">
        <v>54</v>
      </c>
      <c r="B11" s="98" t="s">
        <v>245</v>
      </c>
      <c r="C11" s="28" t="s">
        <v>238</v>
      </c>
      <c r="D11" s="30" t="n">
        <v>37450000</v>
      </c>
      <c r="E11" s="28" t="n">
        <v>2025</v>
      </c>
      <c r="F11" s="98" t="s">
        <v>239</v>
      </c>
      <c r="G11" s="28" t="s">
        <v>232</v>
      </c>
      <c r="H11" s="28" t="s">
        <v>240</v>
      </c>
    </row>
    <row r="12" customFormat="false" ht="27.75" hidden="true" customHeight="true" outlineLevel="0" collapsed="false">
      <c r="A12" s="98" t="s">
        <v>63</v>
      </c>
      <c r="B12" s="98" t="s">
        <v>226</v>
      </c>
      <c r="C12" s="28" t="s">
        <v>227</v>
      </c>
      <c r="D12" s="30" t="n">
        <v>148000000</v>
      </c>
      <c r="E12" s="28" t="n">
        <v>2022</v>
      </c>
      <c r="F12" s="98" t="s">
        <v>228</v>
      </c>
      <c r="G12" s="28" t="s">
        <v>229</v>
      </c>
      <c r="H12" s="28" t="s">
        <v>246</v>
      </c>
    </row>
    <row r="13" customFormat="false" ht="15" hidden="true" customHeight="true" outlineLevel="0" collapsed="false">
      <c r="A13" s="98" t="s">
        <v>63</v>
      </c>
      <c r="B13" s="98" t="s">
        <v>231</v>
      </c>
      <c r="C13" s="28" t="s">
        <v>227</v>
      </c>
      <c r="D13" s="30" t="n">
        <v>236900000</v>
      </c>
      <c r="E13" s="28" t="n">
        <v>2024</v>
      </c>
      <c r="F13" s="98" t="s">
        <v>228</v>
      </c>
      <c r="G13" s="28" t="s">
        <v>232</v>
      </c>
      <c r="H13" s="28" t="s">
        <v>233</v>
      </c>
    </row>
    <row r="14" customFormat="false" ht="15" hidden="true" customHeight="true" outlineLevel="0" collapsed="false">
      <c r="A14" s="98" t="s">
        <v>63</v>
      </c>
      <c r="B14" s="98" t="s">
        <v>234</v>
      </c>
      <c r="C14" s="28" t="s">
        <v>227</v>
      </c>
      <c r="D14" s="30" t="n">
        <v>77160000</v>
      </c>
      <c r="E14" s="28" t="n">
        <v>2023</v>
      </c>
      <c r="F14" s="98" t="s">
        <v>228</v>
      </c>
      <c r="G14" s="28" t="s">
        <v>232</v>
      </c>
      <c r="H14" s="28" t="s">
        <v>233</v>
      </c>
    </row>
    <row r="15" customFormat="false" ht="15" hidden="true" customHeight="true" outlineLevel="0" collapsed="false">
      <c r="A15" s="98" t="s">
        <v>63</v>
      </c>
      <c r="B15" s="98" t="s">
        <v>236</v>
      </c>
      <c r="C15" s="28" t="s">
        <v>227</v>
      </c>
      <c r="D15" s="30" t="n">
        <v>563810000</v>
      </c>
      <c r="E15" s="28" t="n">
        <v>2020</v>
      </c>
      <c r="F15" s="98" t="s">
        <v>228</v>
      </c>
      <c r="G15" s="28" t="s">
        <v>232</v>
      </c>
      <c r="H15" s="28" t="s">
        <v>233</v>
      </c>
    </row>
    <row r="16" customFormat="false" ht="15" hidden="true" customHeight="true" outlineLevel="0" collapsed="false">
      <c r="A16" s="98" t="s">
        <v>63</v>
      </c>
      <c r="B16" s="98" t="s">
        <v>247</v>
      </c>
      <c r="C16" s="28" t="s">
        <v>227</v>
      </c>
      <c r="D16" s="30" t="n">
        <v>87970000</v>
      </c>
      <c r="E16" s="28" t="n">
        <v>2023</v>
      </c>
      <c r="F16" s="98" t="s">
        <v>228</v>
      </c>
      <c r="G16" s="28" t="s">
        <v>229</v>
      </c>
      <c r="H16" s="28" t="s">
        <v>248</v>
      </c>
    </row>
    <row r="17" customFormat="false" ht="15" hidden="true" customHeight="true" outlineLevel="0" collapsed="false">
      <c r="A17" s="98" t="s">
        <v>63</v>
      </c>
      <c r="B17" s="98" t="s">
        <v>249</v>
      </c>
      <c r="C17" s="28" t="s">
        <v>227</v>
      </c>
      <c r="D17" s="30" t="n">
        <v>163660000</v>
      </c>
      <c r="E17" s="28" t="n">
        <v>2024</v>
      </c>
      <c r="F17" s="98" t="s">
        <v>228</v>
      </c>
      <c r="G17" s="28" t="s">
        <v>232</v>
      </c>
      <c r="H17" s="28" t="s">
        <v>233</v>
      </c>
    </row>
    <row r="18" customFormat="false" ht="15" hidden="true" customHeight="true" outlineLevel="0" collapsed="false">
      <c r="A18" s="98" t="s">
        <v>63</v>
      </c>
      <c r="B18" s="98" t="s">
        <v>250</v>
      </c>
      <c r="C18" s="28" t="s">
        <v>227</v>
      </c>
      <c r="D18" s="30" t="n">
        <v>134400000</v>
      </c>
      <c r="E18" s="28" t="n">
        <v>2022</v>
      </c>
      <c r="F18" s="98" t="s">
        <v>228</v>
      </c>
      <c r="G18" s="28" t="s">
        <v>232</v>
      </c>
      <c r="H18" s="28" t="s">
        <v>233</v>
      </c>
    </row>
    <row r="19" customFormat="false" ht="15" hidden="true" customHeight="true" outlineLevel="0" collapsed="false">
      <c r="A19" s="98" t="s">
        <v>63</v>
      </c>
      <c r="B19" s="98" t="s">
        <v>237</v>
      </c>
      <c r="C19" s="28" t="s">
        <v>238</v>
      </c>
      <c r="D19" s="30" t="n">
        <v>60220000</v>
      </c>
      <c r="E19" s="28" t="n">
        <v>2024</v>
      </c>
      <c r="F19" s="98" t="s">
        <v>239</v>
      </c>
      <c r="G19" s="28" t="s">
        <v>232</v>
      </c>
      <c r="H19" s="28" t="s">
        <v>240</v>
      </c>
    </row>
    <row r="20" customFormat="false" ht="15" hidden="true" customHeight="true" outlineLevel="0" collapsed="false">
      <c r="A20" s="98" t="s">
        <v>63</v>
      </c>
      <c r="B20" s="98" t="s">
        <v>241</v>
      </c>
      <c r="C20" s="28" t="s">
        <v>238</v>
      </c>
      <c r="D20" s="30" t="n">
        <v>108860000</v>
      </c>
      <c r="E20" s="28" t="n">
        <v>2023</v>
      </c>
      <c r="F20" s="98" t="s">
        <v>239</v>
      </c>
      <c r="G20" s="28" t="s">
        <v>232</v>
      </c>
      <c r="H20" s="28" t="s">
        <v>240</v>
      </c>
    </row>
    <row r="21" customFormat="false" ht="15" hidden="true" customHeight="true" outlineLevel="0" collapsed="false">
      <c r="A21" s="98" t="s">
        <v>63</v>
      </c>
      <c r="B21" s="98" t="s">
        <v>242</v>
      </c>
      <c r="C21" s="28" t="s">
        <v>238</v>
      </c>
      <c r="D21" s="30" t="n">
        <v>19530000</v>
      </c>
      <c r="E21" s="28" t="n">
        <v>2026</v>
      </c>
      <c r="F21" s="98" t="s">
        <v>239</v>
      </c>
      <c r="G21" s="28" t="s">
        <v>232</v>
      </c>
      <c r="H21" s="28" t="s">
        <v>240</v>
      </c>
    </row>
    <row r="22" customFormat="false" ht="15" hidden="true" customHeight="true" outlineLevel="0" collapsed="false">
      <c r="A22" s="98" t="s">
        <v>63</v>
      </c>
      <c r="B22" s="98" t="s">
        <v>244</v>
      </c>
      <c r="C22" s="28" t="s">
        <v>238</v>
      </c>
      <c r="D22" s="30" t="n">
        <v>60500000</v>
      </c>
      <c r="E22" s="28" t="n">
        <v>2025</v>
      </c>
      <c r="F22" s="98" t="s">
        <v>239</v>
      </c>
      <c r="G22" s="28" t="s">
        <v>232</v>
      </c>
      <c r="H22" s="28" t="s">
        <v>240</v>
      </c>
    </row>
    <row r="23" customFormat="false" ht="15" hidden="true" customHeight="true" outlineLevel="0" collapsed="false">
      <c r="A23" s="98" t="s">
        <v>68</v>
      </c>
      <c r="B23" s="98" t="s">
        <v>226</v>
      </c>
      <c r="C23" s="28" t="s">
        <v>227</v>
      </c>
      <c r="D23" s="30" t="n">
        <v>25480000</v>
      </c>
      <c r="E23" s="28" t="n">
        <v>2025</v>
      </c>
      <c r="F23" s="98" t="s">
        <v>228</v>
      </c>
      <c r="G23" s="28" t="s">
        <v>229</v>
      </c>
      <c r="H23" s="28" t="s">
        <v>230</v>
      </c>
    </row>
    <row r="24" customFormat="false" ht="15" hidden="true" customHeight="true" outlineLevel="0" collapsed="false">
      <c r="A24" s="98" t="s">
        <v>68</v>
      </c>
      <c r="B24" s="98" t="s">
        <v>231</v>
      </c>
      <c r="C24" s="28" t="s">
        <v>227</v>
      </c>
      <c r="D24" s="30" t="n">
        <v>88340000</v>
      </c>
      <c r="E24" s="28" t="n">
        <v>2019</v>
      </c>
      <c r="F24" s="98" t="s">
        <v>228</v>
      </c>
      <c r="G24" s="28" t="s">
        <v>229</v>
      </c>
      <c r="H24" s="28" t="s">
        <v>235</v>
      </c>
    </row>
    <row r="25" customFormat="false" ht="15" hidden="true" customHeight="true" outlineLevel="0" collapsed="false">
      <c r="A25" s="98" t="s">
        <v>68</v>
      </c>
      <c r="B25" s="98" t="s">
        <v>234</v>
      </c>
      <c r="C25" s="28" t="s">
        <v>227</v>
      </c>
      <c r="D25" s="30" t="n">
        <v>32390000</v>
      </c>
      <c r="E25" s="28" t="n">
        <v>2025</v>
      </c>
      <c r="F25" s="98" t="s">
        <v>228</v>
      </c>
      <c r="G25" s="28" t="s">
        <v>229</v>
      </c>
      <c r="H25" s="28" t="s">
        <v>246</v>
      </c>
    </row>
    <row r="26" customFormat="false" ht="15" hidden="true" customHeight="true" outlineLevel="0" collapsed="false">
      <c r="A26" s="98" t="s">
        <v>68</v>
      </c>
      <c r="B26" s="98" t="s">
        <v>236</v>
      </c>
      <c r="C26" s="28" t="s">
        <v>227</v>
      </c>
      <c r="D26" s="30" t="n">
        <v>19810000</v>
      </c>
      <c r="E26" s="28" t="n">
        <v>2023</v>
      </c>
      <c r="F26" s="98" t="s">
        <v>228</v>
      </c>
      <c r="G26" s="28" t="s">
        <v>229</v>
      </c>
      <c r="H26" s="28" t="s">
        <v>248</v>
      </c>
    </row>
    <row r="27" customFormat="false" ht="15" hidden="true" customHeight="true" outlineLevel="0" collapsed="false">
      <c r="A27" s="98" t="s">
        <v>68</v>
      </c>
      <c r="B27" s="98" t="s">
        <v>247</v>
      </c>
      <c r="C27" s="28" t="s">
        <v>227</v>
      </c>
      <c r="D27" s="30" t="n">
        <v>29240000</v>
      </c>
      <c r="E27" s="28" t="n">
        <v>2023</v>
      </c>
      <c r="F27" s="98" t="s">
        <v>228</v>
      </c>
      <c r="G27" s="28" t="s">
        <v>232</v>
      </c>
      <c r="H27" s="28" t="s">
        <v>233</v>
      </c>
    </row>
    <row r="28" customFormat="false" ht="15" hidden="true" customHeight="true" outlineLevel="0" collapsed="false">
      <c r="A28" s="98" t="s">
        <v>68</v>
      </c>
      <c r="B28" s="98" t="s">
        <v>237</v>
      </c>
      <c r="C28" s="28" t="s">
        <v>238</v>
      </c>
      <c r="D28" s="30" t="n">
        <v>57670000</v>
      </c>
      <c r="E28" s="28" t="n">
        <v>2024</v>
      </c>
      <c r="F28" s="98" t="s">
        <v>239</v>
      </c>
      <c r="G28" s="28" t="s">
        <v>232</v>
      </c>
      <c r="H28" s="28" t="s">
        <v>240</v>
      </c>
    </row>
    <row r="29" customFormat="false" ht="15" hidden="true" customHeight="true" outlineLevel="0" collapsed="false">
      <c r="A29" s="98" t="s">
        <v>68</v>
      </c>
      <c r="B29" s="98" t="s">
        <v>241</v>
      </c>
      <c r="C29" s="28" t="s">
        <v>238</v>
      </c>
      <c r="D29" s="30" t="n">
        <v>6880000</v>
      </c>
      <c r="E29" s="28" t="n">
        <v>2025</v>
      </c>
      <c r="F29" s="98" t="s">
        <v>239</v>
      </c>
      <c r="G29" s="28" t="s">
        <v>232</v>
      </c>
      <c r="H29" s="28" t="s">
        <v>240</v>
      </c>
    </row>
    <row r="30" customFormat="false" ht="15" hidden="true" customHeight="true" outlineLevel="0" collapsed="false">
      <c r="A30" s="98" t="s">
        <v>72</v>
      </c>
      <c r="B30" s="98" t="s">
        <v>226</v>
      </c>
      <c r="C30" s="28" t="s">
        <v>227</v>
      </c>
      <c r="D30" s="30" t="n">
        <v>91370000</v>
      </c>
      <c r="E30" s="28" t="n">
        <v>2020</v>
      </c>
      <c r="F30" s="98" t="s">
        <v>228</v>
      </c>
      <c r="G30" s="28" t="s">
        <v>232</v>
      </c>
      <c r="H30" s="28" t="s">
        <v>233</v>
      </c>
    </row>
    <row r="31" customFormat="false" ht="27.75" hidden="true" customHeight="true" outlineLevel="0" collapsed="false">
      <c r="A31" s="98" t="s">
        <v>72</v>
      </c>
      <c r="B31" s="98" t="s">
        <v>231</v>
      </c>
      <c r="C31" s="28" t="s">
        <v>227</v>
      </c>
      <c r="D31" s="30" t="n">
        <v>34000000</v>
      </c>
      <c r="E31" s="28" t="n">
        <v>2024</v>
      </c>
      <c r="F31" s="98" t="s">
        <v>228</v>
      </c>
      <c r="G31" s="28" t="s">
        <v>232</v>
      </c>
      <c r="H31" s="28" t="s">
        <v>233</v>
      </c>
    </row>
    <row r="32" customFormat="false" ht="15" hidden="true" customHeight="true" outlineLevel="0" collapsed="false">
      <c r="A32" s="98" t="s">
        <v>72</v>
      </c>
      <c r="B32" s="98" t="s">
        <v>234</v>
      </c>
      <c r="C32" s="28" t="s">
        <v>227</v>
      </c>
      <c r="D32" s="30" t="n">
        <v>61620000</v>
      </c>
      <c r="E32" s="28" t="n">
        <v>2022</v>
      </c>
      <c r="F32" s="98" t="s">
        <v>228</v>
      </c>
      <c r="G32" s="28" t="s">
        <v>229</v>
      </c>
      <c r="H32" s="28" t="s">
        <v>230</v>
      </c>
    </row>
    <row r="33" customFormat="false" ht="15" hidden="true" customHeight="true" outlineLevel="0" collapsed="false">
      <c r="A33" s="98" t="s">
        <v>72</v>
      </c>
      <c r="B33" s="98" t="s">
        <v>236</v>
      </c>
      <c r="C33" s="28" t="s">
        <v>227</v>
      </c>
      <c r="D33" s="30" t="n">
        <v>27890000</v>
      </c>
      <c r="E33" s="28" t="n">
        <v>2021</v>
      </c>
      <c r="F33" s="98" t="s">
        <v>228</v>
      </c>
      <c r="G33" s="28" t="s">
        <v>229</v>
      </c>
      <c r="H33" s="28" t="s">
        <v>230</v>
      </c>
    </row>
    <row r="34" customFormat="false" ht="15" hidden="true" customHeight="true" outlineLevel="0" collapsed="false">
      <c r="A34" s="98" t="s">
        <v>72</v>
      </c>
      <c r="B34" s="98" t="s">
        <v>237</v>
      </c>
      <c r="C34" s="28" t="s">
        <v>238</v>
      </c>
      <c r="D34" s="30" t="n">
        <v>58410000</v>
      </c>
      <c r="E34" s="28" t="n">
        <v>2023</v>
      </c>
      <c r="F34" s="98" t="s">
        <v>239</v>
      </c>
      <c r="G34" s="28" t="s">
        <v>232</v>
      </c>
      <c r="H34" s="28" t="s">
        <v>240</v>
      </c>
    </row>
    <row r="35" customFormat="false" ht="15" hidden="true" customHeight="true" outlineLevel="0" collapsed="false">
      <c r="A35" s="98" t="s">
        <v>72</v>
      </c>
      <c r="B35" s="98" t="s">
        <v>241</v>
      </c>
      <c r="C35" s="28" t="s">
        <v>238</v>
      </c>
      <c r="D35" s="30" t="n">
        <v>173340000</v>
      </c>
      <c r="E35" s="28" t="n">
        <v>2024</v>
      </c>
      <c r="F35" s="98" t="s">
        <v>239</v>
      </c>
      <c r="G35" s="28" t="s">
        <v>232</v>
      </c>
      <c r="H35" s="28" t="s">
        <v>240</v>
      </c>
    </row>
    <row r="36" customFormat="false" ht="15" hidden="true" customHeight="true" outlineLevel="0" collapsed="false">
      <c r="A36" s="98" t="s">
        <v>75</v>
      </c>
      <c r="B36" s="98" t="s">
        <v>226</v>
      </c>
      <c r="C36" s="28" t="s">
        <v>227</v>
      </c>
      <c r="D36" s="30" t="n">
        <v>158420000</v>
      </c>
      <c r="E36" s="28" t="n">
        <v>2020</v>
      </c>
      <c r="F36" s="98" t="s">
        <v>228</v>
      </c>
      <c r="G36" s="28" t="s">
        <v>229</v>
      </c>
      <c r="H36" s="28" t="s">
        <v>230</v>
      </c>
    </row>
    <row r="37" customFormat="false" ht="15" hidden="true" customHeight="true" outlineLevel="0" collapsed="false">
      <c r="A37" s="98" t="s">
        <v>75</v>
      </c>
      <c r="B37" s="98" t="s">
        <v>231</v>
      </c>
      <c r="C37" s="28" t="s">
        <v>227</v>
      </c>
      <c r="D37" s="30" t="n">
        <v>378280000</v>
      </c>
      <c r="E37" s="28" t="n">
        <v>2022</v>
      </c>
      <c r="F37" s="98" t="s">
        <v>228</v>
      </c>
      <c r="G37" s="28" t="s">
        <v>232</v>
      </c>
      <c r="H37" s="28" t="s">
        <v>233</v>
      </c>
    </row>
    <row r="38" customFormat="false" ht="15" hidden="true" customHeight="true" outlineLevel="0" collapsed="false">
      <c r="A38" s="98" t="s">
        <v>75</v>
      </c>
      <c r="B38" s="98" t="s">
        <v>234</v>
      </c>
      <c r="C38" s="28" t="s">
        <v>227</v>
      </c>
      <c r="D38" s="30" t="n">
        <v>160210000</v>
      </c>
      <c r="E38" s="28" t="n">
        <v>2019</v>
      </c>
      <c r="F38" s="98" t="s">
        <v>228</v>
      </c>
      <c r="G38" s="28" t="s">
        <v>229</v>
      </c>
      <c r="H38" s="28" t="s">
        <v>235</v>
      </c>
    </row>
    <row r="39" customFormat="false" ht="15" hidden="true" customHeight="true" outlineLevel="0" collapsed="false">
      <c r="A39" s="98" t="s">
        <v>75</v>
      </c>
      <c r="B39" s="98" t="s">
        <v>236</v>
      </c>
      <c r="C39" s="28" t="s">
        <v>227</v>
      </c>
      <c r="D39" s="30" t="n">
        <v>207900000</v>
      </c>
      <c r="E39" s="28" t="n">
        <v>2022</v>
      </c>
      <c r="F39" s="98" t="s">
        <v>228</v>
      </c>
      <c r="G39" s="28" t="s">
        <v>229</v>
      </c>
      <c r="H39" s="28" t="s">
        <v>248</v>
      </c>
    </row>
    <row r="40" customFormat="false" ht="15" hidden="true" customHeight="true" outlineLevel="0" collapsed="false">
      <c r="A40" s="98" t="s">
        <v>75</v>
      </c>
      <c r="B40" s="98" t="s">
        <v>247</v>
      </c>
      <c r="C40" s="28" t="s">
        <v>227</v>
      </c>
      <c r="D40" s="30" t="n">
        <v>531110000</v>
      </c>
      <c r="E40" s="28" t="n">
        <v>2021</v>
      </c>
      <c r="F40" s="98" t="s">
        <v>228</v>
      </c>
      <c r="G40" s="28" t="s">
        <v>229</v>
      </c>
      <c r="H40" s="28" t="s">
        <v>235</v>
      </c>
    </row>
    <row r="41" customFormat="false" ht="15" hidden="true" customHeight="true" outlineLevel="0" collapsed="false">
      <c r="A41" s="98" t="s">
        <v>75</v>
      </c>
      <c r="B41" s="98" t="s">
        <v>237</v>
      </c>
      <c r="C41" s="28" t="s">
        <v>238</v>
      </c>
      <c r="D41" s="30" t="n">
        <v>45840000</v>
      </c>
      <c r="E41" s="28" t="n">
        <v>2023</v>
      </c>
      <c r="F41" s="98" t="s">
        <v>239</v>
      </c>
      <c r="G41" s="28" t="s">
        <v>232</v>
      </c>
      <c r="H41" s="28" t="s">
        <v>240</v>
      </c>
    </row>
    <row r="42" customFormat="false" ht="15" hidden="true" customHeight="true" outlineLevel="0" collapsed="false">
      <c r="A42" s="98" t="s">
        <v>75</v>
      </c>
      <c r="B42" s="98" t="s">
        <v>241</v>
      </c>
      <c r="C42" s="28" t="s">
        <v>238</v>
      </c>
      <c r="D42" s="30" t="n">
        <v>96230000</v>
      </c>
      <c r="E42" s="28" t="n">
        <v>2024</v>
      </c>
      <c r="F42" s="98" t="s">
        <v>239</v>
      </c>
      <c r="G42" s="28" t="s">
        <v>229</v>
      </c>
      <c r="H42" s="28" t="s">
        <v>243</v>
      </c>
    </row>
    <row r="43" customFormat="false" ht="15" hidden="true" customHeight="true" outlineLevel="0" collapsed="false">
      <c r="A43" s="98" t="s">
        <v>75</v>
      </c>
      <c r="B43" s="98" t="s">
        <v>242</v>
      </c>
      <c r="C43" s="28" t="s">
        <v>238</v>
      </c>
      <c r="D43" s="30" t="n">
        <v>10130000</v>
      </c>
      <c r="E43" s="28" t="n">
        <v>2025</v>
      </c>
      <c r="F43" s="98" t="s">
        <v>239</v>
      </c>
      <c r="G43" s="28" t="s">
        <v>229</v>
      </c>
      <c r="H43" s="28" t="s">
        <v>243</v>
      </c>
    </row>
    <row r="44" customFormat="false" ht="15" hidden="true" customHeight="true" outlineLevel="0" collapsed="false">
      <c r="A44" s="98" t="s">
        <v>77</v>
      </c>
      <c r="B44" s="98" t="s">
        <v>226</v>
      </c>
      <c r="C44" s="28" t="s">
        <v>227</v>
      </c>
      <c r="D44" s="30" t="n">
        <v>46940000</v>
      </c>
      <c r="E44" s="28" t="n">
        <v>2025</v>
      </c>
      <c r="F44" s="98" t="s">
        <v>228</v>
      </c>
      <c r="G44" s="28" t="s">
        <v>232</v>
      </c>
      <c r="H44" s="28" t="s">
        <v>233</v>
      </c>
    </row>
    <row r="45" customFormat="false" ht="15" hidden="true" customHeight="true" outlineLevel="0" collapsed="false">
      <c r="A45" s="98" t="s">
        <v>77</v>
      </c>
      <c r="B45" s="98" t="s">
        <v>231</v>
      </c>
      <c r="C45" s="28" t="s">
        <v>227</v>
      </c>
      <c r="D45" s="30" t="n">
        <v>119670000</v>
      </c>
      <c r="E45" s="28" t="n">
        <v>2025</v>
      </c>
      <c r="F45" s="98" t="s">
        <v>228</v>
      </c>
      <c r="G45" s="28" t="s">
        <v>232</v>
      </c>
      <c r="H45" s="28" t="s">
        <v>233</v>
      </c>
    </row>
    <row r="46" customFormat="false" ht="15" hidden="true" customHeight="true" outlineLevel="0" collapsed="false">
      <c r="A46" s="98" t="s">
        <v>77</v>
      </c>
      <c r="B46" s="98" t="s">
        <v>234</v>
      </c>
      <c r="C46" s="28" t="s">
        <v>227</v>
      </c>
      <c r="D46" s="30" t="n">
        <v>82010000</v>
      </c>
      <c r="E46" s="28" t="n">
        <v>2023</v>
      </c>
      <c r="F46" s="98" t="s">
        <v>228</v>
      </c>
      <c r="G46" s="28" t="s">
        <v>232</v>
      </c>
      <c r="H46" s="28" t="s">
        <v>233</v>
      </c>
    </row>
    <row r="47" customFormat="false" ht="15" hidden="true" customHeight="true" outlineLevel="0" collapsed="false">
      <c r="A47" s="98" t="s">
        <v>77</v>
      </c>
      <c r="B47" s="98" t="s">
        <v>236</v>
      </c>
      <c r="C47" s="28" t="s">
        <v>227</v>
      </c>
      <c r="D47" s="30" t="n">
        <v>116830000</v>
      </c>
      <c r="E47" s="28" t="n">
        <v>2021</v>
      </c>
      <c r="F47" s="98" t="s">
        <v>228</v>
      </c>
      <c r="G47" s="28" t="s">
        <v>232</v>
      </c>
      <c r="H47" s="28" t="s">
        <v>233</v>
      </c>
    </row>
    <row r="48" customFormat="false" ht="15" hidden="true" customHeight="true" outlineLevel="0" collapsed="false">
      <c r="A48" s="98" t="s">
        <v>77</v>
      </c>
      <c r="B48" s="98" t="s">
        <v>247</v>
      </c>
      <c r="C48" s="28" t="s">
        <v>227</v>
      </c>
      <c r="D48" s="30" t="n">
        <v>133320000</v>
      </c>
      <c r="E48" s="28" t="n">
        <v>2020</v>
      </c>
      <c r="F48" s="98" t="s">
        <v>228</v>
      </c>
      <c r="G48" s="28" t="s">
        <v>229</v>
      </c>
      <c r="H48" s="28" t="s">
        <v>248</v>
      </c>
    </row>
    <row r="49" customFormat="false" ht="15" hidden="true" customHeight="true" outlineLevel="0" collapsed="false">
      <c r="A49" s="98" t="s">
        <v>77</v>
      </c>
      <c r="B49" s="98" t="s">
        <v>249</v>
      </c>
      <c r="C49" s="28" t="s">
        <v>227</v>
      </c>
      <c r="D49" s="30" t="n">
        <v>183260000</v>
      </c>
      <c r="E49" s="28" t="n">
        <v>2019</v>
      </c>
      <c r="F49" s="98" t="s">
        <v>228</v>
      </c>
      <c r="G49" s="28" t="s">
        <v>232</v>
      </c>
      <c r="H49" s="28" t="s">
        <v>233</v>
      </c>
    </row>
    <row r="50" customFormat="false" ht="15" hidden="true" customHeight="true" outlineLevel="0" collapsed="false">
      <c r="A50" s="98" t="s">
        <v>77</v>
      </c>
      <c r="B50" s="98" t="s">
        <v>250</v>
      </c>
      <c r="C50" s="28" t="s">
        <v>227</v>
      </c>
      <c r="D50" s="30" t="n">
        <v>85970000</v>
      </c>
      <c r="E50" s="28" t="n">
        <v>2023</v>
      </c>
      <c r="F50" s="98" t="s">
        <v>228</v>
      </c>
      <c r="G50" s="28" t="s">
        <v>232</v>
      </c>
      <c r="H50" s="28" t="s">
        <v>233</v>
      </c>
    </row>
    <row r="51" customFormat="false" ht="27.75" hidden="true" customHeight="true" outlineLevel="0" collapsed="false">
      <c r="A51" s="98" t="s">
        <v>77</v>
      </c>
      <c r="B51" s="98" t="s">
        <v>237</v>
      </c>
      <c r="C51" s="28" t="s">
        <v>238</v>
      </c>
      <c r="D51" s="30" t="n">
        <v>24610000</v>
      </c>
      <c r="E51" s="28" t="n">
        <v>2024</v>
      </c>
      <c r="F51" s="98" t="s">
        <v>239</v>
      </c>
      <c r="G51" s="28" t="s">
        <v>229</v>
      </c>
      <c r="H51" s="28" t="s">
        <v>243</v>
      </c>
    </row>
    <row r="52" customFormat="false" ht="15" hidden="true" customHeight="true" outlineLevel="0" collapsed="false">
      <c r="A52" s="98" t="s">
        <v>77</v>
      </c>
      <c r="B52" s="98" t="s">
        <v>241</v>
      </c>
      <c r="C52" s="28" t="s">
        <v>238</v>
      </c>
      <c r="D52" s="30" t="n">
        <v>29940000</v>
      </c>
      <c r="E52" s="28" t="n">
        <v>2025</v>
      </c>
      <c r="F52" s="98" t="s">
        <v>239</v>
      </c>
      <c r="G52" s="28" t="s">
        <v>229</v>
      </c>
      <c r="H52" s="28" t="s">
        <v>243</v>
      </c>
    </row>
    <row r="53" customFormat="false" ht="15" hidden="true" customHeight="true" outlineLevel="0" collapsed="false">
      <c r="A53" s="98" t="s">
        <v>77</v>
      </c>
      <c r="B53" s="98" t="s">
        <v>242</v>
      </c>
      <c r="C53" s="28" t="s">
        <v>238</v>
      </c>
      <c r="D53" s="30" t="n">
        <v>30260000</v>
      </c>
      <c r="E53" s="28" t="n">
        <v>2023</v>
      </c>
      <c r="F53" s="98" t="s">
        <v>239</v>
      </c>
      <c r="G53" s="28" t="s">
        <v>229</v>
      </c>
      <c r="H53" s="28" t="s">
        <v>243</v>
      </c>
    </row>
    <row r="54" customFormat="false" ht="15" hidden="true" customHeight="true" outlineLevel="0" collapsed="false">
      <c r="A54" s="98" t="s">
        <v>80</v>
      </c>
      <c r="B54" s="98" t="s">
        <v>226</v>
      </c>
      <c r="C54" s="28" t="s">
        <v>227</v>
      </c>
      <c r="D54" s="30" t="n">
        <v>28000000</v>
      </c>
      <c r="E54" s="28" t="n">
        <v>2025</v>
      </c>
      <c r="F54" s="98" t="s">
        <v>228</v>
      </c>
      <c r="G54" s="28" t="s">
        <v>229</v>
      </c>
      <c r="H54" s="28" t="s">
        <v>230</v>
      </c>
    </row>
    <row r="55" customFormat="false" ht="15" hidden="true" customHeight="true" outlineLevel="0" collapsed="false">
      <c r="A55" s="98" t="s">
        <v>80</v>
      </c>
      <c r="B55" s="98" t="s">
        <v>231</v>
      </c>
      <c r="C55" s="28" t="s">
        <v>227</v>
      </c>
      <c r="D55" s="30" t="n">
        <v>15890000</v>
      </c>
      <c r="E55" s="28" t="n">
        <v>2025</v>
      </c>
      <c r="F55" s="98" t="s">
        <v>228</v>
      </c>
      <c r="G55" s="28" t="s">
        <v>232</v>
      </c>
      <c r="H55" s="28" t="s">
        <v>233</v>
      </c>
    </row>
    <row r="56" customFormat="false" ht="15" hidden="true" customHeight="true" outlineLevel="0" collapsed="false">
      <c r="A56" s="98" t="s">
        <v>80</v>
      </c>
      <c r="B56" s="98" t="s">
        <v>234</v>
      </c>
      <c r="C56" s="28" t="s">
        <v>227</v>
      </c>
      <c r="D56" s="30" t="n">
        <v>27560000</v>
      </c>
      <c r="E56" s="28" t="n">
        <v>2021</v>
      </c>
      <c r="F56" s="98" t="s">
        <v>228</v>
      </c>
      <c r="G56" s="28" t="s">
        <v>232</v>
      </c>
      <c r="H56" s="28" t="s">
        <v>233</v>
      </c>
    </row>
    <row r="57" customFormat="false" ht="15" hidden="true" customHeight="true" outlineLevel="0" collapsed="false">
      <c r="A57" s="98" t="s">
        <v>80</v>
      </c>
      <c r="B57" s="98" t="s">
        <v>236</v>
      </c>
      <c r="C57" s="28" t="s">
        <v>227</v>
      </c>
      <c r="D57" s="30" t="n">
        <v>76060000</v>
      </c>
      <c r="E57" s="28" t="n">
        <v>2019</v>
      </c>
      <c r="F57" s="98" t="s">
        <v>228</v>
      </c>
      <c r="G57" s="28" t="s">
        <v>232</v>
      </c>
      <c r="H57" s="28" t="s">
        <v>233</v>
      </c>
    </row>
    <row r="58" customFormat="false" ht="15" hidden="true" customHeight="true" outlineLevel="0" collapsed="false">
      <c r="A58" s="98" t="s">
        <v>80</v>
      </c>
      <c r="B58" s="98" t="s">
        <v>247</v>
      </c>
      <c r="C58" s="28" t="s">
        <v>227</v>
      </c>
      <c r="D58" s="30" t="n">
        <v>15100000</v>
      </c>
      <c r="E58" s="28" t="n">
        <v>2021</v>
      </c>
      <c r="F58" s="98" t="s">
        <v>228</v>
      </c>
      <c r="G58" s="28" t="s">
        <v>232</v>
      </c>
      <c r="H58" s="28" t="s">
        <v>233</v>
      </c>
    </row>
    <row r="59" customFormat="false" ht="15" hidden="true" customHeight="true" outlineLevel="0" collapsed="false">
      <c r="A59" s="98" t="s">
        <v>80</v>
      </c>
      <c r="B59" s="98" t="s">
        <v>249</v>
      </c>
      <c r="C59" s="28" t="s">
        <v>227</v>
      </c>
      <c r="D59" s="30" t="n">
        <v>41700000</v>
      </c>
      <c r="E59" s="28" t="n">
        <v>2025</v>
      </c>
      <c r="F59" s="98" t="s">
        <v>228</v>
      </c>
      <c r="G59" s="28" t="s">
        <v>229</v>
      </c>
      <c r="H59" s="28" t="s">
        <v>246</v>
      </c>
    </row>
    <row r="60" customFormat="false" ht="15" hidden="true" customHeight="true" outlineLevel="0" collapsed="false">
      <c r="A60" s="98" t="s">
        <v>80</v>
      </c>
      <c r="B60" s="98" t="s">
        <v>237</v>
      </c>
      <c r="C60" s="28" t="s">
        <v>238</v>
      </c>
      <c r="D60" s="30" t="n">
        <v>31400000</v>
      </c>
      <c r="E60" s="28" t="n">
        <v>2024</v>
      </c>
      <c r="F60" s="98" t="s">
        <v>239</v>
      </c>
      <c r="G60" s="28" t="s">
        <v>229</v>
      </c>
      <c r="H60" s="28" t="s">
        <v>243</v>
      </c>
    </row>
    <row r="61" customFormat="false" ht="15" hidden="true" customHeight="true" outlineLevel="0" collapsed="false">
      <c r="A61" s="98" t="s">
        <v>80</v>
      </c>
      <c r="B61" s="98" t="s">
        <v>241</v>
      </c>
      <c r="C61" s="28" t="s">
        <v>238</v>
      </c>
      <c r="D61" s="30" t="n">
        <v>10990000</v>
      </c>
      <c r="E61" s="28" t="n">
        <v>2026</v>
      </c>
      <c r="F61" s="98" t="s">
        <v>239</v>
      </c>
      <c r="G61" s="28" t="s">
        <v>229</v>
      </c>
      <c r="H61" s="28" t="s">
        <v>243</v>
      </c>
    </row>
    <row r="62" customFormat="false" ht="15" hidden="true" customHeight="true" outlineLevel="0" collapsed="false">
      <c r="A62" s="98" t="s">
        <v>80</v>
      </c>
      <c r="B62" s="98" t="s">
        <v>242</v>
      </c>
      <c r="C62" s="28" t="s">
        <v>238</v>
      </c>
      <c r="D62" s="30" t="n">
        <v>18530000</v>
      </c>
      <c r="E62" s="28" t="n">
        <v>2024</v>
      </c>
      <c r="F62" s="98" t="s">
        <v>239</v>
      </c>
      <c r="G62" s="28" t="s">
        <v>232</v>
      </c>
      <c r="H62" s="28" t="s">
        <v>240</v>
      </c>
    </row>
    <row r="63" customFormat="false" ht="15" hidden="true" customHeight="true" outlineLevel="0" collapsed="false">
      <c r="A63" s="98" t="s">
        <v>80</v>
      </c>
      <c r="B63" s="98" t="s">
        <v>244</v>
      </c>
      <c r="C63" s="28" t="s">
        <v>238</v>
      </c>
      <c r="D63" s="30" t="n">
        <v>23040000</v>
      </c>
      <c r="E63" s="28" t="n">
        <v>2026</v>
      </c>
      <c r="F63" s="98" t="s">
        <v>239</v>
      </c>
      <c r="G63" s="28" t="s">
        <v>232</v>
      </c>
      <c r="H63" s="28" t="s">
        <v>240</v>
      </c>
    </row>
    <row r="64" customFormat="false" ht="27.75" hidden="true" customHeight="true" outlineLevel="0" collapsed="false">
      <c r="A64" s="98" t="s">
        <v>83</v>
      </c>
      <c r="B64" s="98" t="s">
        <v>226</v>
      </c>
      <c r="C64" s="28" t="s">
        <v>227</v>
      </c>
      <c r="D64" s="30" t="n">
        <v>212040000</v>
      </c>
      <c r="E64" s="28" t="n">
        <v>2024</v>
      </c>
      <c r="F64" s="98" t="s">
        <v>228</v>
      </c>
      <c r="G64" s="28" t="s">
        <v>229</v>
      </c>
      <c r="H64" s="28" t="s">
        <v>246</v>
      </c>
    </row>
    <row r="65" customFormat="false" ht="15" hidden="true" customHeight="true" outlineLevel="0" collapsed="false">
      <c r="A65" s="98" t="s">
        <v>83</v>
      </c>
      <c r="B65" s="98" t="s">
        <v>231</v>
      </c>
      <c r="C65" s="28" t="s">
        <v>227</v>
      </c>
      <c r="D65" s="30" t="n">
        <v>209620000</v>
      </c>
      <c r="E65" s="28" t="n">
        <v>2019</v>
      </c>
      <c r="F65" s="98" t="s">
        <v>228</v>
      </c>
      <c r="G65" s="28" t="s">
        <v>229</v>
      </c>
      <c r="H65" s="28" t="s">
        <v>235</v>
      </c>
    </row>
    <row r="66" customFormat="false" ht="15" hidden="true" customHeight="true" outlineLevel="0" collapsed="false">
      <c r="A66" s="98" t="s">
        <v>83</v>
      </c>
      <c r="B66" s="98" t="s">
        <v>234</v>
      </c>
      <c r="C66" s="28" t="s">
        <v>227</v>
      </c>
      <c r="D66" s="30" t="n">
        <v>44590000</v>
      </c>
      <c r="E66" s="28" t="n">
        <v>2019</v>
      </c>
      <c r="F66" s="98" t="s">
        <v>228</v>
      </c>
      <c r="G66" s="28" t="s">
        <v>232</v>
      </c>
      <c r="H66" s="28" t="s">
        <v>233</v>
      </c>
    </row>
    <row r="67" customFormat="false" ht="15" hidden="true" customHeight="true" outlineLevel="0" collapsed="false">
      <c r="A67" s="98" t="s">
        <v>83</v>
      </c>
      <c r="B67" s="98" t="s">
        <v>236</v>
      </c>
      <c r="C67" s="28" t="s">
        <v>227</v>
      </c>
      <c r="D67" s="30" t="n">
        <v>191010000</v>
      </c>
      <c r="E67" s="28" t="n">
        <v>2020</v>
      </c>
      <c r="F67" s="98" t="s">
        <v>228</v>
      </c>
      <c r="G67" s="28" t="s">
        <v>229</v>
      </c>
      <c r="H67" s="28" t="s">
        <v>248</v>
      </c>
    </row>
    <row r="68" customFormat="false" ht="15" hidden="true" customHeight="true" outlineLevel="0" collapsed="false">
      <c r="A68" s="98" t="s">
        <v>83</v>
      </c>
      <c r="B68" s="98" t="s">
        <v>237</v>
      </c>
      <c r="C68" s="28" t="s">
        <v>238</v>
      </c>
      <c r="D68" s="30" t="n">
        <v>25120000</v>
      </c>
      <c r="E68" s="28" t="n">
        <v>2023</v>
      </c>
      <c r="F68" s="98" t="s">
        <v>239</v>
      </c>
      <c r="G68" s="28" t="s">
        <v>229</v>
      </c>
      <c r="H68" s="28" t="s">
        <v>243</v>
      </c>
    </row>
    <row r="69" customFormat="false" ht="15" hidden="true" customHeight="true" outlineLevel="0" collapsed="false">
      <c r="A69" s="98" t="s">
        <v>83</v>
      </c>
      <c r="B69" s="98" t="s">
        <v>241</v>
      </c>
      <c r="C69" s="28" t="s">
        <v>238</v>
      </c>
      <c r="D69" s="30" t="n">
        <v>48140000</v>
      </c>
      <c r="E69" s="28" t="n">
        <v>2024</v>
      </c>
      <c r="F69" s="98" t="s">
        <v>239</v>
      </c>
      <c r="G69" s="28" t="s">
        <v>229</v>
      </c>
      <c r="H69" s="28" t="s">
        <v>243</v>
      </c>
    </row>
    <row r="70" customFormat="false" ht="15" hidden="true" customHeight="true" outlineLevel="0" collapsed="false">
      <c r="A70" s="98" t="s">
        <v>83</v>
      </c>
      <c r="B70" s="98" t="s">
        <v>242</v>
      </c>
      <c r="C70" s="28" t="s">
        <v>238</v>
      </c>
      <c r="D70" s="30" t="n">
        <v>39990000</v>
      </c>
      <c r="E70" s="28" t="n">
        <v>2026</v>
      </c>
      <c r="F70" s="98" t="s">
        <v>239</v>
      </c>
      <c r="G70" s="28" t="s">
        <v>229</v>
      </c>
      <c r="H70" s="28" t="s">
        <v>243</v>
      </c>
    </row>
    <row r="71" customFormat="false" ht="15" hidden="true" customHeight="true" outlineLevel="0" collapsed="false">
      <c r="A71" s="98" t="s">
        <v>85</v>
      </c>
      <c r="B71" s="98" t="s">
        <v>226</v>
      </c>
      <c r="C71" s="28" t="s">
        <v>227</v>
      </c>
      <c r="D71" s="30" t="n">
        <v>184740000</v>
      </c>
      <c r="E71" s="28" t="n">
        <v>2022</v>
      </c>
      <c r="F71" s="98" t="s">
        <v>228</v>
      </c>
      <c r="G71" s="28" t="s">
        <v>232</v>
      </c>
      <c r="H71" s="28" t="s">
        <v>233</v>
      </c>
    </row>
    <row r="72" customFormat="false" ht="15" hidden="true" customHeight="true" outlineLevel="0" collapsed="false">
      <c r="A72" s="98" t="s">
        <v>85</v>
      </c>
      <c r="B72" s="98" t="s">
        <v>231</v>
      </c>
      <c r="C72" s="28" t="s">
        <v>227</v>
      </c>
      <c r="D72" s="30" t="n">
        <v>88720000</v>
      </c>
      <c r="E72" s="28" t="n">
        <v>2024</v>
      </c>
      <c r="F72" s="98" t="s">
        <v>228</v>
      </c>
      <c r="G72" s="28" t="s">
        <v>229</v>
      </c>
      <c r="H72" s="28" t="s">
        <v>248</v>
      </c>
    </row>
    <row r="73" customFormat="false" ht="15" hidden="true" customHeight="true" outlineLevel="0" collapsed="false">
      <c r="A73" s="98" t="s">
        <v>85</v>
      </c>
      <c r="B73" s="98" t="s">
        <v>234</v>
      </c>
      <c r="C73" s="28" t="s">
        <v>227</v>
      </c>
      <c r="D73" s="30" t="n">
        <v>136990000</v>
      </c>
      <c r="E73" s="28" t="n">
        <v>2024</v>
      </c>
      <c r="F73" s="98" t="s">
        <v>228</v>
      </c>
      <c r="G73" s="28" t="s">
        <v>232</v>
      </c>
      <c r="H73" s="28" t="s">
        <v>233</v>
      </c>
    </row>
    <row r="74" customFormat="false" ht="15" hidden="true" customHeight="true" outlineLevel="0" collapsed="false">
      <c r="A74" s="98" t="s">
        <v>85</v>
      </c>
      <c r="B74" s="98" t="s">
        <v>236</v>
      </c>
      <c r="C74" s="28" t="s">
        <v>227</v>
      </c>
      <c r="D74" s="30" t="n">
        <v>36730000</v>
      </c>
      <c r="E74" s="28" t="n">
        <v>2022</v>
      </c>
      <c r="F74" s="98" t="s">
        <v>228</v>
      </c>
      <c r="G74" s="28" t="s">
        <v>232</v>
      </c>
      <c r="H74" s="28" t="s">
        <v>233</v>
      </c>
    </row>
    <row r="75" customFormat="false" ht="15" hidden="true" customHeight="true" outlineLevel="0" collapsed="false">
      <c r="A75" s="98" t="s">
        <v>85</v>
      </c>
      <c r="B75" s="98" t="s">
        <v>247</v>
      </c>
      <c r="C75" s="28" t="s">
        <v>227</v>
      </c>
      <c r="D75" s="30" t="n">
        <v>51510000</v>
      </c>
      <c r="E75" s="28" t="n">
        <v>2025</v>
      </c>
      <c r="F75" s="98" t="s">
        <v>228</v>
      </c>
      <c r="G75" s="28" t="s">
        <v>232</v>
      </c>
      <c r="H75" s="28" t="s">
        <v>233</v>
      </c>
    </row>
    <row r="76" customFormat="false" ht="15" hidden="true" customHeight="true" outlineLevel="0" collapsed="false">
      <c r="A76" s="98" t="s">
        <v>85</v>
      </c>
      <c r="B76" s="98" t="s">
        <v>249</v>
      </c>
      <c r="C76" s="28" t="s">
        <v>227</v>
      </c>
      <c r="D76" s="30" t="n">
        <v>102610000</v>
      </c>
      <c r="E76" s="28" t="n">
        <v>2022</v>
      </c>
      <c r="F76" s="98" t="s">
        <v>228</v>
      </c>
      <c r="G76" s="28" t="s">
        <v>232</v>
      </c>
      <c r="H76" s="28" t="s">
        <v>233</v>
      </c>
    </row>
    <row r="77" customFormat="false" ht="15" hidden="true" customHeight="true" outlineLevel="0" collapsed="false">
      <c r="A77" s="98" t="s">
        <v>85</v>
      </c>
      <c r="B77" s="98" t="s">
        <v>250</v>
      </c>
      <c r="C77" s="28" t="s">
        <v>227</v>
      </c>
      <c r="D77" s="30" t="n">
        <v>130310000</v>
      </c>
      <c r="E77" s="28" t="n">
        <v>2022</v>
      </c>
      <c r="F77" s="98" t="s">
        <v>228</v>
      </c>
      <c r="G77" s="28" t="s">
        <v>232</v>
      </c>
      <c r="H77" s="28" t="s">
        <v>233</v>
      </c>
    </row>
    <row r="78" customFormat="false" ht="15" hidden="true" customHeight="true" outlineLevel="0" collapsed="false">
      <c r="A78" s="98" t="s">
        <v>85</v>
      </c>
      <c r="B78" s="98" t="s">
        <v>251</v>
      </c>
      <c r="C78" s="28" t="s">
        <v>227</v>
      </c>
      <c r="D78" s="30" t="n">
        <v>449940000</v>
      </c>
      <c r="E78" s="28" t="n">
        <v>2025</v>
      </c>
      <c r="F78" s="98" t="s">
        <v>228</v>
      </c>
      <c r="G78" s="28" t="s">
        <v>232</v>
      </c>
      <c r="H78" s="28" t="s">
        <v>233</v>
      </c>
    </row>
    <row r="79" customFormat="false" ht="15" hidden="true" customHeight="true" outlineLevel="0" collapsed="false">
      <c r="A79" s="98" t="s">
        <v>85</v>
      </c>
      <c r="B79" s="98" t="s">
        <v>237</v>
      </c>
      <c r="C79" s="28" t="s">
        <v>238</v>
      </c>
      <c r="D79" s="30" t="n">
        <v>19120000</v>
      </c>
      <c r="E79" s="28" t="n">
        <v>2024</v>
      </c>
      <c r="F79" s="98" t="s">
        <v>239</v>
      </c>
      <c r="G79" s="28" t="s">
        <v>232</v>
      </c>
      <c r="H79" s="28" t="s">
        <v>240</v>
      </c>
    </row>
    <row r="80" customFormat="false" ht="15" hidden="true" customHeight="true" outlineLevel="0" collapsed="false">
      <c r="A80" s="98" t="s">
        <v>85</v>
      </c>
      <c r="B80" s="98" t="s">
        <v>241</v>
      </c>
      <c r="C80" s="28" t="s">
        <v>238</v>
      </c>
      <c r="D80" s="30" t="n">
        <v>32160000</v>
      </c>
      <c r="E80" s="28" t="n">
        <v>2024</v>
      </c>
      <c r="F80" s="98" t="s">
        <v>239</v>
      </c>
      <c r="G80" s="28" t="s">
        <v>229</v>
      </c>
      <c r="H80" s="28" t="s">
        <v>243</v>
      </c>
    </row>
    <row r="81" customFormat="false" ht="15" hidden="true" customHeight="true" outlineLevel="0" collapsed="false">
      <c r="A81" s="98" t="s">
        <v>88</v>
      </c>
      <c r="B81" s="98" t="s">
        <v>226</v>
      </c>
      <c r="C81" s="28" t="s">
        <v>227</v>
      </c>
      <c r="D81" s="30" t="n">
        <v>195160000</v>
      </c>
      <c r="E81" s="28" t="n">
        <v>2024</v>
      </c>
      <c r="F81" s="98" t="s">
        <v>228</v>
      </c>
      <c r="G81" s="28" t="s">
        <v>232</v>
      </c>
      <c r="H81" s="28" t="s">
        <v>233</v>
      </c>
    </row>
    <row r="82" customFormat="false" ht="15" hidden="true" customHeight="true" outlineLevel="0" collapsed="false">
      <c r="A82" s="98" t="s">
        <v>88</v>
      </c>
      <c r="B82" s="98" t="s">
        <v>231</v>
      </c>
      <c r="C82" s="28" t="s">
        <v>227</v>
      </c>
      <c r="D82" s="30" t="n">
        <v>151000000</v>
      </c>
      <c r="E82" s="28" t="n">
        <v>2022</v>
      </c>
      <c r="F82" s="98" t="s">
        <v>228</v>
      </c>
      <c r="G82" s="28" t="s">
        <v>229</v>
      </c>
      <c r="H82" s="28" t="s">
        <v>248</v>
      </c>
    </row>
    <row r="83" customFormat="false" ht="15" hidden="true" customHeight="true" outlineLevel="0" collapsed="false">
      <c r="A83" s="98" t="s">
        <v>88</v>
      </c>
      <c r="B83" s="98" t="s">
        <v>234</v>
      </c>
      <c r="C83" s="28" t="s">
        <v>227</v>
      </c>
      <c r="D83" s="30" t="n">
        <v>141170000</v>
      </c>
      <c r="E83" s="28" t="n">
        <v>2025</v>
      </c>
      <c r="F83" s="98" t="s">
        <v>228</v>
      </c>
      <c r="G83" s="28" t="s">
        <v>229</v>
      </c>
      <c r="H83" s="28" t="s">
        <v>235</v>
      </c>
    </row>
    <row r="84" customFormat="false" ht="15" hidden="true" customHeight="true" outlineLevel="0" collapsed="false">
      <c r="A84" s="98" t="s">
        <v>88</v>
      </c>
      <c r="B84" s="98" t="s">
        <v>236</v>
      </c>
      <c r="C84" s="28" t="s">
        <v>227</v>
      </c>
      <c r="D84" s="30" t="n">
        <v>85350000</v>
      </c>
      <c r="E84" s="28" t="n">
        <v>2021</v>
      </c>
      <c r="F84" s="98" t="s">
        <v>228</v>
      </c>
      <c r="G84" s="28" t="s">
        <v>229</v>
      </c>
      <c r="H84" s="28" t="s">
        <v>230</v>
      </c>
    </row>
    <row r="85" customFormat="false" ht="15" hidden="true" customHeight="true" outlineLevel="0" collapsed="false">
      <c r="A85" s="98" t="s">
        <v>88</v>
      </c>
      <c r="B85" s="98" t="s">
        <v>247</v>
      </c>
      <c r="C85" s="28" t="s">
        <v>227</v>
      </c>
      <c r="D85" s="30" t="n">
        <v>96720000</v>
      </c>
      <c r="E85" s="28" t="n">
        <v>2025</v>
      </c>
      <c r="F85" s="98" t="s">
        <v>228</v>
      </c>
      <c r="G85" s="28" t="s">
        <v>232</v>
      </c>
      <c r="H85" s="28" t="s">
        <v>233</v>
      </c>
    </row>
    <row r="86" customFormat="false" ht="15" hidden="true" customHeight="true" outlineLevel="0" collapsed="false">
      <c r="A86" s="98" t="s">
        <v>88</v>
      </c>
      <c r="B86" s="98" t="s">
        <v>249</v>
      </c>
      <c r="C86" s="28" t="s">
        <v>227</v>
      </c>
      <c r="D86" s="30" t="n">
        <v>116620000</v>
      </c>
      <c r="E86" s="28" t="n">
        <v>2022</v>
      </c>
      <c r="F86" s="98" t="s">
        <v>228</v>
      </c>
      <c r="G86" s="28" t="s">
        <v>229</v>
      </c>
      <c r="H86" s="28" t="s">
        <v>248</v>
      </c>
    </row>
    <row r="87" customFormat="false" ht="27.75" hidden="true" customHeight="true" outlineLevel="0" collapsed="false">
      <c r="A87" s="98" t="s">
        <v>88</v>
      </c>
      <c r="B87" s="98" t="s">
        <v>237</v>
      </c>
      <c r="C87" s="28" t="s">
        <v>238</v>
      </c>
      <c r="D87" s="30" t="n">
        <v>181550000</v>
      </c>
      <c r="E87" s="28" t="n">
        <v>2025</v>
      </c>
      <c r="F87" s="98" t="s">
        <v>239</v>
      </c>
      <c r="G87" s="28" t="s">
        <v>232</v>
      </c>
      <c r="H87" s="28" t="s">
        <v>240</v>
      </c>
    </row>
    <row r="88" customFormat="false" ht="15" hidden="true" customHeight="true" outlineLevel="0" collapsed="false">
      <c r="A88" s="98" t="s">
        <v>88</v>
      </c>
      <c r="B88" s="98" t="s">
        <v>241</v>
      </c>
      <c r="C88" s="28" t="s">
        <v>238</v>
      </c>
      <c r="D88" s="30" t="n">
        <v>103380000</v>
      </c>
      <c r="E88" s="28" t="n">
        <v>2026</v>
      </c>
      <c r="F88" s="98" t="s">
        <v>239</v>
      </c>
      <c r="G88" s="28" t="s">
        <v>232</v>
      </c>
      <c r="H88" s="28" t="s">
        <v>240</v>
      </c>
    </row>
    <row r="89" customFormat="false" ht="15" hidden="true" customHeight="true" outlineLevel="0" collapsed="false">
      <c r="A89" s="98" t="s">
        <v>88</v>
      </c>
      <c r="B89" s="98" t="s">
        <v>242</v>
      </c>
      <c r="C89" s="28" t="s">
        <v>238</v>
      </c>
      <c r="D89" s="30" t="n">
        <v>44050000</v>
      </c>
      <c r="E89" s="28" t="n">
        <v>2025</v>
      </c>
      <c r="F89" s="98" t="s">
        <v>239</v>
      </c>
      <c r="G89" s="28" t="s">
        <v>232</v>
      </c>
      <c r="H89" s="28" t="s">
        <v>240</v>
      </c>
    </row>
    <row r="90" customFormat="false" ht="15" hidden="true" customHeight="true" outlineLevel="0" collapsed="false">
      <c r="A90" s="98" t="s">
        <v>88</v>
      </c>
      <c r="B90" s="98" t="s">
        <v>244</v>
      </c>
      <c r="C90" s="28" t="s">
        <v>238</v>
      </c>
      <c r="D90" s="30" t="n">
        <v>114570000</v>
      </c>
      <c r="E90" s="28" t="n">
        <v>2025</v>
      </c>
      <c r="F90" s="98" t="s">
        <v>239</v>
      </c>
      <c r="G90" s="28" t="s">
        <v>229</v>
      </c>
      <c r="H90" s="28" t="s">
        <v>243</v>
      </c>
    </row>
    <row r="91" customFormat="false" ht="15" hidden="true" customHeight="true" outlineLevel="0" collapsed="false">
      <c r="A91" s="98" t="s">
        <v>88</v>
      </c>
      <c r="B91" s="98" t="s">
        <v>245</v>
      </c>
      <c r="C91" s="28" t="s">
        <v>238</v>
      </c>
      <c r="D91" s="30" t="n">
        <v>19290000</v>
      </c>
      <c r="E91" s="28" t="n">
        <v>2024</v>
      </c>
      <c r="F91" s="98" t="s">
        <v>239</v>
      </c>
      <c r="G91" s="28" t="s">
        <v>232</v>
      </c>
      <c r="H91" s="28" t="s">
        <v>240</v>
      </c>
    </row>
    <row r="92" customFormat="false" ht="15" hidden="true" customHeight="true" outlineLevel="0" collapsed="false">
      <c r="A92" s="98" t="s">
        <v>91</v>
      </c>
      <c r="B92" s="98" t="s">
        <v>226</v>
      </c>
      <c r="C92" s="28" t="s">
        <v>227</v>
      </c>
      <c r="D92" s="30" t="n">
        <v>256000000</v>
      </c>
      <c r="E92" s="28" t="n">
        <v>2024</v>
      </c>
      <c r="F92" s="98" t="s">
        <v>228</v>
      </c>
      <c r="G92" s="28" t="s">
        <v>232</v>
      </c>
      <c r="H92" s="28" t="s">
        <v>233</v>
      </c>
    </row>
    <row r="93" customFormat="false" ht="15" hidden="true" customHeight="true" outlineLevel="0" collapsed="false">
      <c r="A93" s="98" t="s">
        <v>91</v>
      </c>
      <c r="B93" s="98" t="s">
        <v>231</v>
      </c>
      <c r="C93" s="28" t="s">
        <v>227</v>
      </c>
      <c r="D93" s="30" t="n">
        <v>39020000</v>
      </c>
      <c r="E93" s="28" t="n">
        <v>2021</v>
      </c>
      <c r="F93" s="98" t="s">
        <v>228</v>
      </c>
      <c r="G93" s="28" t="s">
        <v>232</v>
      </c>
      <c r="H93" s="28" t="s">
        <v>233</v>
      </c>
    </row>
    <row r="94" customFormat="false" ht="15" hidden="true" customHeight="true" outlineLevel="0" collapsed="false">
      <c r="A94" s="98" t="s">
        <v>91</v>
      </c>
      <c r="B94" s="98" t="s">
        <v>234</v>
      </c>
      <c r="C94" s="28" t="s">
        <v>227</v>
      </c>
      <c r="D94" s="30" t="n">
        <v>354600000</v>
      </c>
      <c r="E94" s="28" t="n">
        <v>2025</v>
      </c>
      <c r="F94" s="98" t="s">
        <v>228</v>
      </c>
      <c r="G94" s="28" t="s">
        <v>232</v>
      </c>
      <c r="H94" s="28" t="s">
        <v>233</v>
      </c>
    </row>
    <row r="95" customFormat="false" ht="15" hidden="true" customHeight="true" outlineLevel="0" collapsed="false">
      <c r="A95" s="98" t="s">
        <v>91</v>
      </c>
      <c r="B95" s="98" t="s">
        <v>236</v>
      </c>
      <c r="C95" s="28" t="s">
        <v>227</v>
      </c>
      <c r="D95" s="30" t="n">
        <v>245490000</v>
      </c>
      <c r="E95" s="28" t="n">
        <v>2022</v>
      </c>
      <c r="F95" s="98" t="s">
        <v>228</v>
      </c>
      <c r="G95" s="28" t="s">
        <v>229</v>
      </c>
      <c r="H95" s="28" t="s">
        <v>230</v>
      </c>
    </row>
    <row r="96" customFormat="false" ht="15" hidden="true" customHeight="true" outlineLevel="0" collapsed="false">
      <c r="A96" s="98" t="s">
        <v>91</v>
      </c>
      <c r="B96" s="98" t="s">
        <v>247</v>
      </c>
      <c r="C96" s="28" t="s">
        <v>227</v>
      </c>
      <c r="D96" s="30" t="n">
        <v>80200000</v>
      </c>
      <c r="E96" s="28" t="n">
        <v>2020</v>
      </c>
      <c r="F96" s="98" t="s">
        <v>228</v>
      </c>
      <c r="G96" s="28" t="s">
        <v>232</v>
      </c>
      <c r="H96" s="28" t="s">
        <v>233</v>
      </c>
    </row>
    <row r="97" customFormat="false" ht="15" hidden="true" customHeight="true" outlineLevel="0" collapsed="false">
      <c r="A97" s="98" t="s">
        <v>91</v>
      </c>
      <c r="B97" s="98" t="s">
        <v>249</v>
      </c>
      <c r="C97" s="28" t="s">
        <v>227</v>
      </c>
      <c r="D97" s="30" t="n">
        <v>86970000</v>
      </c>
      <c r="E97" s="28" t="n">
        <v>2025</v>
      </c>
      <c r="F97" s="98" t="s">
        <v>228</v>
      </c>
      <c r="G97" s="28" t="s">
        <v>232</v>
      </c>
      <c r="H97" s="28" t="s">
        <v>233</v>
      </c>
    </row>
    <row r="98" customFormat="false" ht="15" hidden="true" customHeight="true" outlineLevel="0" collapsed="false">
      <c r="A98" s="98" t="s">
        <v>91</v>
      </c>
      <c r="B98" s="98" t="s">
        <v>250</v>
      </c>
      <c r="C98" s="28" t="s">
        <v>227</v>
      </c>
      <c r="D98" s="30" t="n">
        <v>109660000</v>
      </c>
      <c r="E98" s="28" t="n">
        <v>2020</v>
      </c>
      <c r="F98" s="98" t="s">
        <v>228</v>
      </c>
      <c r="G98" s="28" t="s">
        <v>232</v>
      </c>
      <c r="H98" s="28" t="s">
        <v>233</v>
      </c>
    </row>
    <row r="99" customFormat="false" ht="15" hidden="true" customHeight="true" outlineLevel="0" collapsed="false">
      <c r="A99" s="98" t="s">
        <v>91</v>
      </c>
      <c r="B99" s="98" t="s">
        <v>251</v>
      </c>
      <c r="C99" s="28" t="s">
        <v>227</v>
      </c>
      <c r="D99" s="30" t="n">
        <v>288440000</v>
      </c>
      <c r="E99" s="28" t="n">
        <v>2022</v>
      </c>
      <c r="F99" s="98" t="s">
        <v>228</v>
      </c>
      <c r="G99" s="28" t="s">
        <v>232</v>
      </c>
      <c r="H99" s="28" t="s">
        <v>233</v>
      </c>
    </row>
    <row r="100" customFormat="false" ht="15" hidden="true" customHeight="true" outlineLevel="0" collapsed="false">
      <c r="A100" s="98" t="s">
        <v>91</v>
      </c>
      <c r="B100" s="98" t="s">
        <v>252</v>
      </c>
      <c r="C100" s="28" t="s">
        <v>227</v>
      </c>
      <c r="D100" s="30" t="n">
        <v>108430000</v>
      </c>
      <c r="E100" s="28" t="n">
        <v>2023</v>
      </c>
      <c r="F100" s="98" t="s">
        <v>228</v>
      </c>
      <c r="G100" s="28" t="s">
        <v>232</v>
      </c>
      <c r="H100" s="28" t="s">
        <v>233</v>
      </c>
    </row>
    <row r="101" customFormat="false" ht="15" hidden="true" customHeight="true" outlineLevel="0" collapsed="false">
      <c r="A101" s="98" t="s">
        <v>91</v>
      </c>
      <c r="B101" s="98" t="s">
        <v>237</v>
      </c>
      <c r="C101" s="28" t="s">
        <v>238</v>
      </c>
      <c r="D101" s="30" t="n">
        <v>38900000</v>
      </c>
      <c r="E101" s="28" t="n">
        <v>2025</v>
      </c>
      <c r="F101" s="98" t="s">
        <v>239</v>
      </c>
      <c r="G101" s="28" t="s">
        <v>232</v>
      </c>
      <c r="H101" s="28" t="s">
        <v>240</v>
      </c>
    </row>
    <row r="102" customFormat="false" ht="15" hidden="true" customHeight="true" outlineLevel="0" collapsed="false">
      <c r="A102" s="98" t="s">
        <v>91</v>
      </c>
      <c r="B102" s="98" t="s">
        <v>241</v>
      </c>
      <c r="C102" s="28" t="s">
        <v>238</v>
      </c>
      <c r="D102" s="30" t="n">
        <v>53310000</v>
      </c>
      <c r="E102" s="28" t="n">
        <v>2023</v>
      </c>
      <c r="F102" s="98" t="s">
        <v>239</v>
      </c>
      <c r="G102" s="28" t="s">
        <v>232</v>
      </c>
      <c r="H102" s="28" t="s">
        <v>240</v>
      </c>
    </row>
    <row r="103" customFormat="false" ht="15" hidden="true" customHeight="true" outlineLevel="0" collapsed="false">
      <c r="A103" s="98" t="s">
        <v>93</v>
      </c>
      <c r="B103" s="98" t="s">
        <v>226</v>
      </c>
      <c r="C103" s="28" t="s">
        <v>227</v>
      </c>
      <c r="D103" s="30" t="n">
        <v>208010000</v>
      </c>
      <c r="E103" s="28" t="n">
        <v>2023</v>
      </c>
      <c r="F103" s="98" t="s">
        <v>228</v>
      </c>
      <c r="G103" s="28" t="s">
        <v>229</v>
      </c>
      <c r="H103" s="28" t="s">
        <v>230</v>
      </c>
    </row>
    <row r="104" customFormat="false" ht="15" hidden="true" customHeight="true" outlineLevel="0" collapsed="false">
      <c r="A104" s="98" t="s">
        <v>93</v>
      </c>
      <c r="B104" s="98" t="s">
        <v>231</v>
      </c>
      <c r="C104" s="28" t="s">
        <v>227</v>
      </c>
      <c r="D104" s="30" t="n">
        <v>31540000</v>
      </c>
      <c r="E104" s="28" t="n">
        <v>2023</v>
      </c>
      <c r="F104" s="98" t="s">
        <v>228</v>
      </c>
      <c r="G104" s="28" t="s">
        <v>232</v>
      </c>
      <c r="H104" s="28" t="s">
        <v>233</v>
      </c>
    </row>
    <row r="105" customFormat="false" ht="15" hidden="true" customHeight="true" outlineLevel="0" collapsed="false">
      <c r="A105" s="98" t="s">
        <v>93</v>
      </c>
      <c r="B105" s="98" t="s">
        <v>234</v>
      </c>
      <c r="C105" s="28" t="s">
        <v>227</v>
      </c>
      <c r="D105" s="30" t="n">
        <v>127810000</v>
      </c>
      <c r="E105" s="28" t="n">
        <v>2022</v>
      </c>
      <c r="F105" s="98" t="s">
        <v>228</v>
      </c>
      <c r="G105" s="28" t="s">
        <v>232</v>
      </c>
      <c r="H105" s="28" t="s">
        <v>233</v>
      </c>
    </row>
    <row r="106" customFormat="false" ht="15" hidden="true" customHeight="true" outlineLevel="0" collapsed="false">
      <c r="A106" s="98" t="s">
        <v>93</v>
      </c>
      <c r="B106" s="98" t="s">
        <v>236</v>
      </c>
      <c r="C106" s="28" t="s">
        <v>227</v>
      </c>
      <c r="D106" s="30" t="n">
        <v>105990000</v>
      </c>
      <c r="E106" s="28" t="n">
        <v>2019</v>
      </c>
      <c r="F106" s="98" t="s">
        <v>228</v>
      </c>
      <c r="G106" s="28" t="s">
        <v>232</v>
      </c>
      <c r="H106" s="28" t="s">
        <v>233</v>
      </c>
    </row>
    <row r="107" customFormat="false" ht="15" hidden="true" customHeight="true" outlineLevel="0" collapsed="false">
      <c r="A107" s="98" t="s">
        <v>93</v>
      </c>
      <c r="B107" s="98" t="s">
        <v>237</v>
      </c>
      <c r="C107" s="28" t="s">
        <v>238</v>
      </c>
      <c r="D107" s="30" t="n">
        <v>58220000</v>
      </c>
      <c r="E107" s="28" t="n">
        <v>2025</v>
      </c>
      <c r="F107" s="98" t="s">
        <v>239</v>
      </c>
      <c r="G107" s="28" t="s">
        <v>229</v>
      </c>
      <c r="H107" s="28" t="s">
        <v>243</v>
      </c>
    </row>
    <row r="108" customFormat="false" ht="15" hidden="true" customHeight="true" outlineLevel="0" collapsed="false">
      <c r="A108" s="98" t="s">
        <v>93</v>
      </c>
      <c r="B108" s="98" t="s">
        <v>241</v>
      </c>
      <c r="C108" s="28" t="s">
        <v>238</v>
      </c>
      <c r="D108" s="30" t="n">
        <v>13120000</v>
      </c>
      <c r="E108" s="28" t="n">
        <v>2023</v>
      </c>
      <c r="F108" s="98" t="s">
        <v>239</v>
      </c>
      <c r="G108" s="28" t="s">
        <v>229</v>
      </c>
      <c r="H108" s="28" t="s">
        <v>243</v>
      </c>
    </row>
    <row r="109" customFormat="false" ht="15" hidden="true" customHeight="true" outlineLevel="0" collapsed="false">
      <c r="A109" s="98" t="s">
        <v>93</v>
      </c>
      <c r="B109" s="98" t="s">
        <v>242</v>
      </c>
      <c r="C109" s="28" t="s">
        <v>238</v>
      </c>
      <c r="D109" s="30" t="n">
        <v>44500000</v>
      </c>
      <c r="E109" s="28" t="n">
        <v>2026</v>
      </c>
      <c r="F109" s="98" t="s">
        <v>239</v>
      </c>
      <c r="G109" s="28" t="s">
        <v>232</v>
      </c>
      <c r="H109" s="28" t="s">
        <v>240</v>
      </c>
    </row>
    <row r="110" customFormat="false" ht="15" hidden="true" customHeight="true" outlineLevel="0" collapsed="false">
      <c r="A110" s="98" t="s">
        <v>93</v>
      </c>
      <c r="B110" s="98" t="s">
        <v>244</v>
      </c>
      <c r="C110" s="28" t="s">
        <v>238</v>
      </c>
      <c r="D110" s="30" t="n">
        <v>23610000</v>
      </c>
      <c r="E110" s="28" t="n">
        <v>2026</v>
      </c>
      <c r="F110" s="98" t="s">
        <v>239</v>
      </c>
      <c r="G110" s="28" t="s">
        <v>229</v>
      </c>
      <c r="H110" s="28" t="s">
        <v>243</v>
      </c>
    </row>
    <row r="111" customFormat="false" ht="15" hidden="true" customHeight="true" outlineLevel="0" collapsed="false">
      <c r="A111" s="98" t="s">
        <v>95</v>
      </c>
      <c r="B111" s="98" t="s">
        <v>226</v>
      </c>
      <c r="C111" s="28" t="s">
        <v>227</v>
      </c>
      <c r="D111" s="30" t="n">
        <v>39550000</v>
      </c>
      <c r="E111" s="28" t="n">
        <v>2025</v>
      </c>
      <c r="F111" s="98" t="s">
        <v>228</v>
      </c>
      <c r="G111" s="28" t="s">
        <v>232</v>
      </c>
      <c r="H111" s="28" t="s">
        <v>233</v>
      </c>
    </row>
    <row r="112" customFormat="false" ht="15" hidden="true" customHeight="true" outlineLevel="0" collapsed="false">
      <c r="A112" s="98" t="s">
        <v>95</v>
      </c>
      <c r="B112" s="98" t="s">
        <v>231</v>
      </c>
      <c r="C112" s="28" t="s">
        <v>227</v>
      </c>
      <c r="D112" s="30" t="n">
        <v>19860000</v>
      </c>
      <c r="E112" s="28" t="n">
        <v>2020</v>
      </c>
      <c r="F112" s="98" t="s">
        <v>228</v>
      </c>
      <c r="G112" s="28" t="s">
        <v>232</v>
      </c>
      <c r="H112" s="28" t="s">
        <v>233</v>
      </c>
    </row>
    <row r="113" customFormat="false" ht="15" hidden="true" customHeight="true" outlineLevel="0" collapsed="false">
      <c r="A113" s="98" t="s">
        <v>95</v>
      </c>
      <c r="B113" s="98" t="s">
        <v>234</v>
      </c>
      <c r="C113" s="28" t="s">
        <v>227</v>
      </c>
      <c r="D113" s="30" t="n">
        <v>22910000</v>
      </c>
      <c r="E113" s="28" t="n">
        <v>2023</v>
      </c>
      <c r="F113" s="98" t="s">
        <v>228</v>
      </c>
      <c r="G113" s="28" t="s">
        <v>229</v>
      </c>
      <c r="H113" s="28" t="s">
        <v>235</v>
      </c>
    </row>
    <row r="114" customFormat="false" ht="15" hidden="true" customHeight="true" outlineLevel="0" collapsed="false">
      <c r="A114" s="98" t="s">
        <v>95</v>
      </c>
      <c r="B114" s="98" t="s">
        <v>236</v>
      </c>
      <c r="C114" s="28" t="s">
        <v>227</v>
      </c>
      <c r="D114" s="30" t="n">
        <v>25670000</v>
      </c>
      <c r="E114" s="28" t="n">
        <v>2019</v>
      </c>
      <c r="F114" s="98" t="s">
        <v>228</v>
      </c>
      <c r="G114" s="28" t="s">
        <v>232</v>
      </c>
      <c r="H114" s="28" t="s">
        <v>233</v>
      </c>
    </row>
    <row r="115" customFormat="false" ht="15" hidden="true" customHeight="true" outlineLevel="0" collapsed="false">
      <c r="A115" s="98" t="s">
        <v>95</v>
      </c>
      <c r="B115" s="98" t="s">
        <v>247</v>
      </c>
      <c r="C115" s="28" t="s">
        <v>227</v>
      </c>
      <c r="D115" s="30" t="n">
        <v>42500000</v>
      </c>
      <c r="E115" s="28" t="n">
        <v>2025</v>
      </c>
      <c r="F115" s="98" t="s">
        <v>228</v>
      </c>
      <c r="G115" s="28" t="s">
        <v>232</v>
      </c>
      <c r="H115" s="28" t="s">
        <v>233</v>
      </c>
    </row>
    <row r="116" customFormat="false" ht="27.75" hidden="true" customHeight="true" outlineLevel="0" collapsed="false">
      <c r="A116" s="98" t="s">
        <v>95</v>
      </c>
      <c r="B116" s="98" t="s">
        <v>249</v>
      </c>
      <c r="C116" s="28" t="s">
        <v>227</v>
      </c>
      <c r="D116" s="30" t="n">
        <v>43570000</v>
      </c>
      <c r="E116" s="28" t="n">
        <v>2021</v>
      </c>
      <c r="F116" s="98" t="s">
        <v>228</v>
      </c>
      <c r="G116" s="28" t="s">
        <v>232</v>
      </c>
      <c r="H116" s="28" t="s">
        <v>233</v>
      </c>
    </row>
    <row r="117" customFormat="false" ht="15" hidden="true" customHeight="true" outlineLevel="0" collapsed="false">
      <c r="A117" s="98" t="s">
        <v>95</v>
      </c>
      <c r="B117" s="98" t="s">
        <v>250</v>
      </c>
      <c r="C117" s="28" t="s">
        <v>227</v>
      </c>
      <c r="D117" s="30" t="n">
        <v>75810000</v>
      </c>
      <c r="E117" s="28" t="n">
        <v>2019</v>
      </c>
      <c r="F117" s="98" t="s">
        <v>228</v>
      </c>
      <c r="G117" s="28" t="s">
        <v>229</v>
      </c>
      <c r="H117" s="28" t="s">
        <v>235</v>
      </c>
    </row>
    <row r="118" customFormat="false" ht="15" hidden="true" customHeight="true" outlineLevel="0" collapsed="false">
      <c r="A118" s="98" t="s">
        <v>95</v>
      </c>
      <c r="B118" s="98" t="s">
        <v>237</v>
      </c>
      <c r="C118" s="28" t="s">
        <v>238</v>
      </c>
      <c r="D118" s="30" t="n">
        <v>25020000</v>
      </c>
      <c r="E118" s="28" t="n">
        <v>2023</v>
      </c>
      <c r="F118" s="98" t="s">
        <v>239</v>
      </c>
      <c r="G118" s="28" t="s">
        <v>232</v>
      </c>
      <c r="H118" s="28" t="s">
        <v>240</v>
      </c>
    </row>
    <row r="119" customFormat="false" ht="15" hidden="true" customHeight="true" outlineLevel="0" collapsed="false">
      <c r="A119" s="98" t="s">
        <v>95</v>
      </c>
      <c r="B119" s="98" t="s">
        <v>241</v>
      </c>
      <c r="C119" s="28" t="s">
        <v>238</v>
      </c>
      <c r="D119" s="30" t="n">
        <v>10820000</v>
      </c>
      <c r="E119" s="28" t="n">
        <v>2026</v>
      </c>
      <c r="F119" s="98" t="s">
        <v>239</v>
      </c>
      <c r="G119" s="28" t="s">
        <v>229</v>
      </c>
      <c r="H119" s="28" t="s">
        <v>243</v>
      </c>
    </row>
    <row r="120" customFormat="false" ht="15" hidden="true" customHeight="true" outlineLevel="0" collapsed="false">
      <c r="A120" s="98" t="s">
        <v>95</v>
      </c>
      <c r="B120" s="98" t="s">
        <v>242</v>
      </c>
      <c r="C120" s="28" t="s">
        <v>238</v>
      </c>
      <c r="D120" s="30" t="n">
        <v>85540000</v>
      </c>
      <c r="E120" s="28" t="n">
        <v>2024</v>
      </c>
      <c r="F120" s="98" t="s">
        <v>239</v>
      </c>
      <c r="G120" s="28" t="s">
        <v>229</v>
      </c>
      <c r="H120" s="28" t="s">
        <v>243</v>
      </c>
    </row>
    <row r="121" customFormat="false" ht="15" hidden="true" customHeight="true" outlineLevel="0" collapsed="false">
      <c r="A121" s="98" t="s">
        <v>97</v>
      </c>
      <c r="B121" s="98" t="s">
        <v>226</v>
      </c>
      <c r="C121" s="28" t="s">
        <v>227</v>
      </c>
      <c r="D121" s="30" t="n">
        <v>25110000</v>
      </c>
      <c r="E121" s="28" t="n">
        <v>2023</v>
      </c>
      <c r="F121" s="98" t="s">
        <v>228</v>
      </c>
      <c r="G121" s="28" t="s">
        <v>232</v>
      </c>
      <c r="H121" s="28" t="s">
        <v>233</v>
      </c>
    </row>
    <row r="122" customFormat="false" ht="15" hidden="true" customHeight="true" outlineLevel="0" collapsed="false">
      <c r="A122" s="98" t="s">
        <v>97</v>
      </c>
      <c r="B122" s="98" t="s">
        <v>231</v>
      </c>
      <c r="C122" s="28" t="s">
        <v>227</v>
      </c>
      <c r="D122" s="30" t="n">
        <v>55710000</v>
      </c>
      <c r="E122" s="28" t="n">
        <v>2019</v>
      </c>
      <c r="F122" s="98" t="s">
        <v>228</v>
      </c>
      <c r="G122" s="28" t="s">
        <v>229</v>
      </c>
      <c r="H122" s="28" t="s">
        <v>248</v>
      </c>
    </row>
    <row r="123" customFormat="false" ht="15" hidden="true" customHeight="true" outlineLevel="0" collapsed="false">
      <c r="A123" s="98" t="s">
        <v>97</v>
      </c>
      <c r="B123" s="98" t="s">
        <v>234</v>
      </c>
      <c r="C123" s="28" t="s">
        <v>227</v>
      </c>
      <c r="D123" s="30" t="n">
        <v>17470000</v>
      </c>
      <c r="E123" s="28" t="n">
        <v>2022</v>
      </c>
      <c r="F123" s="98" t="s">
        <v>228</v>
      </c>
      <c r="G123" s="28" t="s">
        <v>232</v>
      </c>
      <c r="H123" s="28" t="s">
        <v>233</v>
      </c>
    </row>
    <row r="124" customFormat="false" ht="15" hidden="true" customHeight="true" outlineLevel="0" collapsed="false">
      <c r="A124" s="98" t="s">
        <v>97</v>
      </c>
      <c r="B124" s="98" t="s">
        <v>236</v>
      </c>
      <c r="C124" s="28" t="s">
        <v>227</v>
      </c>
      <c r="D124" s="30" t="n">
        <v>28640000</v>
      </c>
      <c r="E124" s="28" t="n">
        <v>2019</v>
      </c>
      <c r="F124" s="98" t="s">
        <v>228</v>
      </c>
      <c r="G124" s="28" t="s">
        <v>229</v>
      </c>
      <c r="H124" s="28" t="s">
        <v>235</v>
      </c>
    </row>
    <row r="125" customFormat="false" ht="15" hidden="true" customHeight="true" outlineLevel="0" collapsed="false">
      <c r="A125" s="98" t="s">
        <v>97</v>
      </c>
      <c r="B125" s="98" t="s">
        <v>237</v>
      </c>
      <c r="C125" s="28" t="s">
        <v>238</v>
      </c>
      <c r="D125" s="30" t="n">
        <v>23540000</v>
      </c>
      <c r="E125" s="28" t="n">
        <v>2024</v>
      </c>
      <c r="F125" s="98" t="s">
        <v>239</v>
      </c>
      <c r="G125" s="28" t="s">
        <v>229</v>
      </c>
      <c r="H125" s="28" t="s">
        <v>243</v>
      </c>
    </row>
    <row r="126" customFormat="false" ht="15" hidden="true" customHeight="true" outlineLevel="0" collapsed="false">
      <c r="A126" s="98" t="s">
        <v>97</v>
      </c>
      <c r="B126" s="98" t="s">
        <v>241</v>
      </c>
      <c r="C126" s="28" t="s">
        <v>238</v>
      </c>
      <c r="D126" s="30" t="n">
        <v>15740000</v>
      </c>
      <c r="E126" s="28" t="n">
        <v>2026</v>
      </c>
      <c r="F126" s="98" t="s">
        <v>239</v>
      </c>
      <c r="G126" s="28" t="s">
        <v>229</v>
      </c>
      <c r="H126" s="28" t="s">
        <v>243</v>
      </c>
    </row>
    <row r="127" customFormat="false" ht="15" hidden="true" customHeight="true" outlineLevel="0" collapsed="false">
      <c r="A127" s="98" t="s">
        <v>100</v>
      </c>
      <c r="B127" s="98" t="s">
        <v>226</v>
      </c>
      <c r="C127" s="28" t="s">
        <v>227</v>
      </c>
      <c r="D127" s="30" t="n">
        <v>38900000</v>
      </c>
      <c r="E127" s="28" t="n">
        <v>2025</v>
      </c>
      <c r="F127" s="98" t="s">
        <v>228</v>
      </c>
      <c r="G127" s="28" t="s">
        <v>232</v>
      </c>
      <c r="H127" s="28" t="s">
        <v>233</v>
      </c>
    </row>
    <row r="128" customFormat="false" ht="15" hidden="true" customHeight="true" outlineLevel="0" collapsed="false">
      <c r="A128" s="98" t="s">
        <v>100</v>
      </c>
      <c r="B128" s="98" t="s">
        <v>231</v>
      </c>
      <c r="C128" s="28" t="s">
        <v>227</v>
      </c>
      <c r="D128" s="30" t="n">
        <v>27600000</v>
      </c>
      <c r="E128" s="28" t="n">
        <v>2025</v>
      </c>
      <c r="F128" s="98" t="s">
        <v>228</v>
      </c>
      <c r="G128" s="28" t="s">
        <v>229</v>
      </c>
      <c r="H128" s="28" t="s">
        <v>230</v>
      </c>
    </row>
    <row r="129" customFormat="false" ht="15" hidden="true" customHeight="true" outlineLevel="0" collapsed="false">
      <c r="A129" s="98" t="s">
        <v>100</v>
      </c>
      <c r="B129" s="98" t="s">
        <v>234</v>
      </c>
      <c r="C129" s="28" t="s">
        <v>227</v>
      </c>
      <c r="D129" s="30" t="n">
        <v>7620000</v>
      </c>
      <c r="E129" s="28" t="n">
        <v>2019</v>
      </c>
      <c r="F129" s="98" t="s">
        <v>228</v>
      </c>
      <c r="G129" s="28" t="s">
        <v>229</v>
      </c>
      <c r="H129" s="28" t="s">
        <v>246</v>
      </c>
    </row>
    <row r="130" customFormat="false" ht="15" hidden="true" customHeight="true" outlineLevel="0" collapsed="false">
      <c r="A130" s="98" t="s">
        <v>100</v>
      </c>
      <c r="B130" s="98" t="s">
        <v>236</v>
      </c>
      <c r="C130" s="28" t="s">
        <v>227</v>
      </c>
      <c r="D130" s="30" t="n">
        <v>58070000</v>
      </c>
      <c r="E130" s="28" t="n">
        <v>2019</v>
      </c>
      <c r="F130" s="98" t="s">
        <v>228</v>
      </c>
      <c r="G130" s="28" t="s">
        <v>232</v>
      </c>
      <c r="H130" s="28" t="s">
        <v>233</v>
      </c>
    </row>
    <row r="131" customFormat="false" ht="15" hidden="true" customHeight="true" outlineLevel="0" collapsed="false">
      <c r="A131" s="98" t="s">
        <v>100</v>
      </c>
      <c r="B131" s="98" t="s">
        <v>247</v>
      </c>
      <c r="C131" s="28" t="s">
        <v>227</v>
      </c>
      <c r="D131" s="30" t="n">
        <v>33470000</v>
      </c>
      <c r="E131" s="28" t="n">
        <v>2024</v>
      </c>
      <c r="F131" s="98" t="s">
        <v>228</v>
      </c>
      <c r="G131" s="28" t="s">
        <v>229</v>
      </c>
      <c r="H131" s="28" t="s">
        <v>248</v>
      </c>
    </row>
    <row r="132" customFormat="false" ht="15" hidden="true" customHeight="true" outlineLevel="0" collapsed="false">
      <c r="A132" s="98" t="s">
        <v>100</v>
      </c>
      <c r="B132" s="98" t="s">
        <v>237</v>
      </c>
      <c r="C132" s="28" t="s">
        <v>238</v>
      </c>
      <c r="D132" s="30" t="n">
        <v>23390000</v>
      </c>
      <c r="E132" s="28" t="n">
        <v>2026</v>
      </c>
      <c r="F132" s="98" t="s">
        <v>239</v>
      </c>
      <c r="G132" s="28" t="s">
        <v>232</v>
      </c>
      <c r="H132" s="28" t="s">
        <v>240</v>
      </c>
    </row>
    <row r="133" customFormat="false" ht="15" hidden="true" customHeight="true" outlineLevel="0" collapsed="false">
      <c r="A133" s="98" t="s">
        <v>100</v>
      </c>
      <c r="B133" s="98" t="s">
        <v>241</v>
      </c>
      <c r="C133" s="28" t="s">
        <v>238</v>
      </c>
      <c r="D133" s="30" t="n">
        <v>10970000</v>
      </c>
      <c r="E133" s="28" t="n">
        <v>2024</v>
      </c>
      <c r="F133" s="98" t="s">
        <v>239</v>
      </c>
      <c r="G133" s="28" t="s">
        <v>232</v>
      </c>
      <c r="H133" s="28" t="s">
        <v>240</v>
      </c>
    </row>
    <row r="134" customFormat="false" ht="15" hidden="true" customHeight="true" outlineLevel="0" collapsed="false">
      <c r="A134" s="98" t="s">
        <v>103</v>
      </c>
      <c r="B134" s="98" t="s">
        <v>226</v>
      </c>
      <c r="C134" s="28" t="s">
        <v>227</v>
      </c>
      <c r="D134" s="30" t="n">
        <v>36060000</v>
      </c>
      <c r="E134" s="28" t="n">
        <v>2023</v>
      </c>
      <c r="F134" s="98" t="s">
        <v>228</v>
      </c>
      <c r="G134" s="28" t="s">
        <v>232</v>
      </c>
      <c r="H134" s="28" t="s">
        <v>233</v>
      </c>
    </row>
    <row r="135" customFormat="false" ht="15" hidden="true" customHeight="true" outlineLevel="0" collapsed="false">
      <c r="A135" s="98" t="s">
        <v>103</v>
      </c>
      <c r="B135" s="98" t="s">
        <v>231</v>
      </c>
      <c r="C135" s="28" t="s">
        <v>227</v>
      </c>
      <c r="D135" s="30" t="n">
        <v>19970000</v>
      </c>
      <c r="E135" s="28" t="n">
        <v>2022</v>
      </c>
      <c r="F135" s="98" t="s">
        <v>228</v>
      </c>
      <c r="G135" s="28" t="s">
        <v>232</v>
      </c>
      <c r="H135" s="28" t="s">
        <v>233</v>
      </c>
    </row>
    <row r="136" customFormat="false" ht="15" hidden="true" customHeight="true" outlineLevel="0" collapsed="false">
      <c r="A136" s="98" t="s">
        <v>103</v>
      </c>
      <c r="B136" s="98" t="s">
        <v>234</v>
      </c>
      <c r="C136" s="28" t="s">
        <v>227</v>
      </c>
      <c r="D136" s="30" t="n">
        <v>23270000</v>
      </c>
      <c r="E136" s="28" t="n">
        <v>2020</v>
      </c>
      <c r="F136" s="98" t="s">
        <v>228</v>
      </c>
      <c r="G136" s="28" t="s">
        <v>229</v>
      </c>
      <c r="H136" s="28" t="s">
        <v>230</v>
      </c>
    </row>
    <row r="137" customFormat="false" ht="15" hidden="true" customHeight="true" outlineLevel="0" collapsed="false">
      <c r="A137" s="98" t="s">
        <v>103</v>
      </c>
      <c r="B137" s="98" t="s">
        <v>236</v>
      </c>
      <c r="C137" s="28" t="s">
        <v>227</v>
      </c>
      <c r="D137" s="30" t="n">
        <v>50340000</v>
      </c>
      <c r="E137" s="28" t="n">
        <v>2022</v>
      </c>
      <c r="F137" s="98" t="s">
        <v>228</v>
      </c>
      <c r="G137" s="28" t="s">
        <v>229</v>
      </c>
      <c r="H137" s="28" t="s">
        <v>235</v>
      </c>
    </row>
    <row r="138" customFormat="false" ht="15" hidden="true" customHeight="true" outlineLevel="0" collapsed="false">
      <c r="A138" s="98" t="s">
        <v>103</v>
      </c>
      <c r="B138" s="98" t="s">
        <v>247</v>
      </c>
      <c r="C138" s="28" t="s">
        <v>227</v>
      </c>
      <c r="D138" s="30" t="n">
        <v>20000000</v>
      </c>
      <c r="E138" s="28" t="n">
        <v>2022</v>
      </c>
      <c r="F138" s="98" t="s">
        <v>228</v>
      </c>
      <c r="G138" s="28" t="s">
        <v>232</v>
      </c>
      <c r="H138" s="28" t="s">
        <v>233</v>
      </c>
    </row>
    <row r="139" customFormat="false" ht="15" hidden="true" customHeight="true" outlineLevel="0" collapsed="false">
      <c r="A139" s="98" t="s">
        <v>103</v>
      </c>
      <c r="B139" s="98" t="s">
        <v>249</v>
      </c>
      <c r="C139" s="28" t="s">
        <v>227</v>
      </c>
      <c r="D139" s="30" t="n">
        <v>133670000</v>
      </c>
      <c r="E139" s="28" t="n">
        <v>2023</v>
      </c>
      <c r="F139" s="98" t="s">
        <v>228</v>
      </c>
      <c r="G139" s="28" t="s">
        <v>229</v>
      </c>
      <c r="H139" s="28" t="s">
        <v>246</v>
      </c>
    </row>
    <row r="140" customFormat="false" ht="27.75" hidden="true" customHeight="true" outlineLevel="0" collapsed="false">
      <c r="A140" s="98" t="s">
        <v>103</v>
      </c>
      <c r="B140" s="98" t="s">
        <v>250</v>
      </c>
      <c r="C140" s="28" t="s">
        <v>227</v>
      </c>
      <c r="D140" s="30" t="n">
        <v>19720000</v>
      </c>
      <c r="E140" s="28" t="n">
        <v>2025</v>
      </c>
      <c r="F140" s="98" t="s">
        <v>228</v>
      </c>
      <c r="G140" s="28" t="s">
        <v>232</v>
      </c>
      <c r="H140" s="28" t="s">
        <v>233</v>
      </c>
    </row>
    <row r="141" customFormat="false" ht="15" hidden="true" customHeight="true" outlineLevel="0" collapsed="false">
      <c r="A141" s="98" t="s">
        <v>103</v>
      </c>
      <c r="B141" s="98" t="s">
        <v>251</v>
      </c>
      <c r="C141" s="28" t="s">
        <v>227</v>
      </c>
      <c r="D141" s="30" t="n">
        <v>52150000</v>
      </c>
      <c r="E141" s="28" t="n">
        <v>2025</v>
      </c>
      <c r="F141" s="98" t="s">
        <v>228</v>
      </c>
      <c r="G141" s="28" t="s">
        <v>229</v>
      </c>
      <c r="H141" s="28" t="s">
        <v>230</v>
      </c>
    </row>
    <row r="142" customFormat="false" ht="15" hidden="true" customHeight="true" outlineLevel="0" collapsed="false">
      <c r="A142" s="98" t="s">
        <v>103</v>
      </c>
      <c r="B142" s="98" t="s">
        <v>252</v>
      </c>
      <c r="C142" s="28" t="s">
        <v>227</v>
      </c>
      <c r="D142" s="30" t="n">
        <v>56040000</v>
      </c>
      <c r="E142" s="28" t="n">
        <v>2024</v>
      </c>
      <c r="F142" s="98" t="s">
        <v>228</v>
      </c>
      <c r="G142" s="28" t="s">
        <v>229</v>
      </c>
      <c r="H142" s="28" t="s">
        <v>246</v>
      </c>
    </row>
    <row r="143" customFormat="false" ht="15" hidden="true" customHeight="true" outlineLevel="0" collapsed="false">
      <c r="A143" s="98" t="s">
        <v>103</v>
      </c>
      <c r="B143" s="98" t="s">
        <v>237</v>
      </c>
      <c r="C143" s="28" t="s">
        <v>238</v>
      </c>
      <c r="D143" s="30" t="n">
        <v>5120000</v>
      </c>
      <c r="E143" s="28" t="n">
        <v>2026</v>
      </c>
      <c r="F143" s="98" t="s">
        <v>239</v>
      </c>
      <c r="G143" s="28" t="s">
        <v>229</v>
      </c>
      <c r="H143" s="28" t="s">
        <v>243</v>
      </c>
    </row>
    <row r="144" customFormat="false" ht="27.75" hidden="true" customHeight="true" outlineLevel="0" collapsed="false">
      <c r="A144" s="98" t="s">
        <v>103</v>
      </c>
      <c r="B144" s="98" t="s">
        <v>241</v>
      </c>
      <c r="C144" s="28" t="s">
        <v>238</v>
      </c>
      <c r="D144" s="30" t="n">
        <v>7280000</v>
      </c>
      <c r="E144" s="28" t="n">
        <v>2024</v>
      </c>
      <c r="F144" s="98" t="s">
        <v>239</v>
      </c>
      <c r="G144" s="28" t="s">
        <v>232</v>
      </c>
      <c r="H144" s="28" t="s">
        <v>240</v>
      </c>
    </row>
    <row r="145" customFormat="false" ht="15" hidden="true" customHeight="true" outlineLevel="0" collapsed="false">
      <c r="A145" s="98" t="s">
        <v>103</v>
      </c>
      <c r="B145" s="98" t="s">
        <v>242</v>
      </c>
      <c r="C145" s="28" t="s">
        <v>238</v>
      </c>
      <c r="D145" s="30" t="n">
        <v>4130000</v>
      </c>
      <c r="E145" s="28" t="n">
        <v>2025</v>
      </c>
      <c r="F145" s="98" t="s">
        <v>239</v>
      </c>
      <c r="G145" s="28" t="s">
        <v>229</v>
      </c>
      <c r="H145" s="28" t="s">
        <v>243</v>
      </c>
    </row>
    <row r="146" customFormat="false" ht="15" hidden="true" customHeight="true" outlineLevel="0" collapsed="false">
      <c r="A146" s="98" t="s">
        <v>107</v>
      </c>
      <c r="B146" s="98" t="s">
        <v>226</v>
      </c>
      <c r="C146" s="28" t="s">
        <v>227</v>
      </c>
      <c r="D146" s="30" t="n">
        <v>145890000</v>
      </c>
      <c r="E146" s="28" t="n">
        <v>2024</v>
      </c>
      <c r="F146" s="98" t="s">
        <v>228</v>
      </c>
      <c r="G146" s="28" t="s">
        <v>232</v>
      </c>
      <c r="H146" s="28" t="s">
        <v>233</v>
      </c>
    </row>
    <row r="147" customFormat="false" ht="15" hidden="true" customHeight="true" outlineLevel="0" collapsed="false">
      <c r="A147" s="98" t="s">
        <v>107</v>
      </c>
      <c r="B147" s="98" t="s">
        <v>231</v>
      </c>
      <c r="C147" s="28" t="s">
        <v>227</v>
      </c>
      <c r="D147" s="30" t="n">
        <v>47040000</v>
      </c>
      <c r="E147" s="28" t="n">
        <v>2021</v>
      </c>
      <c r="F147" s="98" t="s">
        <v>228</v>
      </c>
      <c r="G147" s="28" t="s">
        <v>232</v>
      </c>
      <c r="H147" s="28" t="s">
        <v>233</v>
      </c>
    </row>
    <row r="148" customFormat="false" ht="15" hidden="true" customHeight="true" outlineLevel="0" collapsed="false">
      <c r="A148" s="98" t="s">
        <v>107</v>
      </c>
      <c r="B148" s="98" t="s">
        <v>234</v>
      </c>
      <c r="C148" s="28" t="s">
        <v>227</v>
      </c>
      <c r="D148" s="30" t="n">
        <v>108220000</v>
      </c>
      <c r="E148" s="28" t="n">
        <v>2025</v>
      </c>
      <c r="F148" s="98" t="s">
        <v>228</v>
      </c>
      <c r="G148" s="28" t="s">
        <v>232</v>
      </c>
      <c r="H148" s="28" t="s">
        <v>233</v>
      </c>
    </row>
    <row r="149" customFormat="false" ht="15" hidden="true" customHeight="true" outlineLevel="0" collapsed="false">
      <c r="A149" s="98" t="s">
        <v>107</v>
      </c>
      <c r="B149" s="98" t="s">
        <v>236</v>
      </c>
      <c r="C149" s="28" t="s">
        <v>227</v>
      </c>
      <c r="D149" s="30" t="n">
        <v>179960000</v>
      </c>
      <c r="E149" s="28" t="n">
        <v>2023</v>
      </c>
      <c r="F149" s="98" t="s">
        <v>228</v>
      </c>
      <c r="G149" s="28" t="s">
        <v>229</v>
      </c>
      <c r="H149" s="28" t="s">
        <v>246</v>
      </c>
    </row>
    <row r="150" customFormat="false" ht="15" hidden="true" customHeight="true" outlineLevel="0" collapsed="false">
      <c r="A150" s="98" t="s">
        <v>107</v>
      </c>
      <c r="B150" s="98" t="s">
        <v>247</v>
      </c>
      <c r="C150" s="28" t="s">
        <v>227</v>
      </c>
      <c r="D150" s="30" t="n">
        <v>55110000</v>
      </c>
      <c r="E150" s="28" t="n">
        <v>2020</v>
      </c>
      <c r="F150" s="98" t="s">
        <v>228</v>
      </c>
      <c r="G150" s="28" t="s">
        <v>229</v>
      </c>
      <c r="H150" s="28" t="s">
        <v>230</v>
      </c>
    </row>
    <row r="151" customFormat="false" ht="15" hidden="true" customHeight="true" outlineLevel="0" collapsed="false">
      <c r="A151" s="98" t="s">
        <v>107</v>
      </c>
      <c r="B151" s="98" t="s">
        <v>249</v>
      </c>
      <c r="C151" s="28" t="s">
        <v>227</v>
      </c>
      <c r="D151" s="30" t="n">
        <v>107270000</v>
      </c>
      <c r="E151" s="28" t="n">
        <v>2020</v>
      </c>
      <c r="F151" s="98" t="s">
        <v>228</v>
      </c>
      <c r="G151" s="28" t="s">
        <v>232</v>
      </c>
      <c r="H151" s="28" t="s">
        <v>233</v>
      </c>
    </row>
    <row r="152" customFormat="false" ht="15" hidden="true" customHeight="true" outlineLevel="0" collapsed="false">
      <c r="A152" s="98" t="s">
        <v>107</v>
      </c>
      <c r="B152" s="98" t="s">
        <v>250</v>
      </c>
      <c r="C152" s="28" t="s">
        <v>227</v>
      </c>
      <c r="D152" s="30" t="n">
        <v>80910000</v>
      </c>
      <c r="E152" s="28" t="n">
        <v>2025</v>
      </c>
      <c r="F152" s="98" t="s">
        <v>228</v>
      </c>
      <c r="G152" s="28" t="s">
        <v>232</v>
      </c>
      <c r="H152" s="28" t="s">
        <v>233</v>
      </c>
    </row>
    <row r="153" customFormat="false" ht="15" hidden="true" customHeight="true" outlineLevel="0" collapsed="false">
      <c r="A153" s="98" t="s">
        <v>107</v>
      </c>
      <c r="B153" s="98" t="s">
        <v>251</v>
      </c>
      <c r="C153" s="28" t="s">
        <v>227</v>
      </c>
      <c r="D153" s="30" t="n">
        <v>57760000</v>
      </c>
      <c r="E153" s="28" t="n">
        <v>2024</v>
      </c>
      <c r="F153" s="98" t="s">
        <v>228</v>
      </c>
      <c r="G153" s="28" t="s">
        <v>232</v>
      </c>
      <c r="H153" s="28" t="s">
        <v>233</v>
      </c>
    </row>
    <row r="154" customFormat="false" ht="15" hidden="true" customHeight="true" outlineLevel="0" collapsed="false">
      <c r="A154" s="98" t="s">
        <v>107</v>
      </c>
      <c r="B154" s="98" t="s">
        <v>252</v>
      </c>
      <c r="C154" s="28" t="s">
        <v>227</v>
      </c>
      <c r="D154" s="30" t="n">
        <v>121730000</v>
      </c>
      <c r="E154" s="28" t="n">
        <v>2020</v>
      </c>
      <c r="F154" s="98" t="s">
        <v>228</v>
      </c>
      <c r="G154" s="28" t="s">
        <v>229</v>
      </c>
      <c r="H154" s="28" t="s">
        <v>230</v>
      </c>
    </row>
    <row r="155" customFormat="false" ht="15" hidden="true" customHeight="true" outlineLevel="0" collapsed="false">
      <c r="A155" s="98" t="s">
        <v>107</v>
      </c>
      <c r="B155" s="98" t="s">
        <v>237</v>
      </c>
      <c r="C155" s="28" t="s">
        <v>238</v>
      </c>
      <c r="D155" s="30" t="n">
        <v>32840000</v>
      </c>
      <c r="E155" s="28" t="n">
        <v>2026</v>
      </c>
      <c r="F155" s="98" t="s">
        <v>239</v>
      </c>
      <c r="G155" s="28" t="s">
        <v>229</v>
      </c>
      <c r="H155" s="28" t="s">
        <v>243</v>
      </c>
    </row>
    <row r="156" customFormat="false" ht="15" hidden="true" customHeight="true" outlineLevel="0" collapsed="false">
      <c r="A156" s="98" t="s">
        <v>107</v>
      </c>
      <c r="B156" s="98" t="s">
        <v>241</v>
      </c>
      <c r="C156" s="28" t="s">
        <v>238</v>
      </c>
      <c r="D156" s="30" t="n">
        <v>25240000</v>
      </c>
      <c r="E156" s="28" t="n">
        <v>2025</v>
      </c>
      <c r="F156" s="98" t="s">
        <v>239</v>
      </c>
      <c r="G156" s="28" t="s">
        <v>232</v>
      </c>
      <c r="H156" s="28" t="s">
        <v>240</v>
      </c>
    </row>
    <row r="157" customFormat="false" ht="15" hidden="true" customHeight="true" outlineLevel="0" collapsed="false">
      <c r="A157" s="98" t="s">
        <v>107</v>
      </c>
      <c r="B157" s="98" t="s">
        <v>242</v>
      </c>
      <c r="C157" s="28" t="s">
        <v>238</v>
      </c>
      <c r="D157" s="30" t="n">
        <v>31040000</v>
      </c>
      <c r="E157" s="28" t="n">
        <v>2025</v>
      </c>
      <c r="F157" s="98" t="s">
        <v>239</v>
      </c>
      <c r="G157" s="28" t="s">
        <v>232</v>
      </c>
      <c r="H157" s="28" t="s">
        <v>240</v>
      </c>
    </row>
    <row r="158" customFormat="false" ht="15" hidden="true" customHeight="true" outlineLevel="0" collapsed="false">
      <c r="A158" s="98" t="s">
        <v>107</v>
      </c>
      <c r="B158" s="98" t="s">
        <v>244</v>
      </c>
      <c r="C158" s="28" t="s">
        <v>238</v>
      </c>
      <c r="D158" s="30" t="n">
        <v>84310000</v>
      </c>
      <c r="E158" s="28" t="n">
        <v>2023</v>
      </c>
      <c r="F158" s="98" t="s">
        <v>239</v>
      </c>
      <c r="G158" s="28" t="s">
        <v>229</v>
      </c>
      <c r="H158" s="28" t="s">
        <v>243</v>
      </c>
    </row>
    <row r="159" customFormat="false" ht="15" hidden="true" customHeight="true" outlineLevel="0" collapsed="false">
      <c r="A159" s="98" t="s">
        <v>107</v>
      </c>
      <c r="B159" s="98" t="s">
        <v>245</v>
      </c>
      <c r="C159" s="28" t="s">
        <v>238</v>
      </c>
      <c r="D159" s="30" t="n">
        <v>36620000</v>
      </c>
      <c r="E159" s="28" t="n">
        <v>2026</v>
      </c>
      <c r="F159" s="98" t="s">
        <v>239</v>
      </c>
      <c r="G159" s="28" t="s">
        <v>232</v>
      </c>
      <c r="H159" s="28" t="s">
        <v>240</v>
      </c>
    </row>
    <row r="160" customFormat="false" ht="15" hidden="true" customHeight="true" outlineLevel="0" collapsed="false">
      <c r="A160" s="98" t="s">
        <v>109</v>
      </c>
      <c r="B160" s="98" t="s">
        <v>226</v>
      </c>
      <c r="C160" s="28" t="s">
        <v>227</v>
      </c>
      <c r="D160" s="30" t="n">
        <v>516340000</v>
      </c>
      <c r="E160" s="28" t="n">
        <v>2025</v>
      </c>
      <c r="F160" s="98" t="s">
        <v>228</v>
      </c>
      <c r="G160" s="28" t="s">
        <v>229</v>
      </c>
      <c r="H160" s="28" t="s">
        <v>230</v>
      </c>
    </row>
    <row r="161" customFormat="false" ht="15" hidden="true" customHeight="true" outlineLevel="0" collapsed="false">
      <c r="A161" s="98" t="s">
        <v>109</v>
      </c>
      <c r="B161" s="98" t="s">
        <v>231</v>
      </c>
      <c r="C161" s="28" t="s">
        <v>227</v>
      </c>
      <c r="D161" s="30" t="n">
        <v>449820000</v>
      </c>
      <c r="E161" s="28" t="n">
        <v>2024</v>
      </c>
      <c r="F161" s="98" t="s">
        <v>228</v>
      </c>
      <c r="G161" s="28" t="s">
        <v>232</v>
      </c>
      <c r="H161" s="28" t="s">
        <v>233</v>
      </c>
    </row>
    <row r="162" customFormat="false" ht="15" hidden="true" customHeight="true" outlineLevel="0" collapsed="false">
      <c r="A162" s="98" t="s">
        <v>109</v>
      </c>
      <c r="B162" s="98" t="s">
        <v>234</v>
      </c>
      <c r="C162" s="28" t="s">
        <v>227</v>
      </c>
      <c r="D162" s="30" t="n">
        <v>202600000</v>
      </c>
      <c r="E162" s="28" t="n">
        <v>2020</v>
      </c>
      <c r="F162" s="98" t="s">
        <v>228</v>
      </c>
      <c r="G162" s="28" t="s">
        <v>232</v>
      </c>
      <c r="H162" s="28" t="s">
        <v>233</v>
      </c>
    </row>
    <row r="163" customFormat="false" ht="15" hidden="true" customHeight="true" outlineLevel="0" collapsed="false">
      <c r="A163" s="98" t="s">
        <v>109</v>
      </c>
      <c r="B163" s="98" t="s">
        <v>236</v>
      </c>
      <c r="C163" s="28" t="s">
        <v>227</v>
      </c>
      <c r="D163" s="30" t="n">
        <v>309380000</v>
      </c>
      <c r="E163" s="28" t="n">
        <v>2024</v>
      </c>
      <c r="F163" s="98" t="s">
        <v>228</v>
      </c>
      <c r="G163" s="28" t="s">
        <v>232</v>
      </c>
      <c r="H163" s="28" t="s">
        <v>233</v>
      </c>
    </row>
    <row r="164" customFormat="false" ht="27.75" hidden="true" customHeight="true" outlineLevel="0" collapsed="false">
      <c r="A164" s="98" t="s">
        <v>109</v>
      </c>
      <c r="B164" s="98" t="s">
        <v>237</v>
      </c>
      <c r="C164" s="28" t="s">
        <v>238</v>
      </c>
      <c r="D164" s="30" t="n">
        <v>144070000</v>
      </c>
      <c r="E164" s="28" t="n">
        <v>2026</v>
      </c>
      <c r="F164" s="98" t="s">
        <v>239</v>
      </c>
      <c r="G164" s="28" t="s">
        <v>232</v>
      </c>
      <c r="H164" s="28" t="s">
        <v>240</v>
      </c>
    </row>
    <row r="165" customFormat="false" ht="15" hidden="true" customHeight="true" outlineLevel="0" collapsed="false">
      <c r="A165" s="98" t="s">
        <v>109</v>
      </c>
      <c r="B165" s="98" t="s">
        <v>241</v>
      </c>
      <c r="C165" s="28" t="s">
        <v>238</v>
      </c>
      <c r="D165" s="30" t="n">
        <v>220030000</v>
      </c>
      <c r="E165" s="28" t="n">
        <v>2024</v>
      </c>
      <c r="F165" s="98" t="s">
        <v>239</v>
      </c>
      <c r="G165" s="28" t="s">
        <v>232</v>
      </c>
      <c r="H165" s="28" t="s">
        <v>240</v>
      </c>
    </row>
    <row r="166" customFormat="false" ht="27.75" hidden="true" customHeight="true" outlineLevel="0" collapsed="false">
      <c r="A166" s="98" t="s">
        <v>109</v>
      </c>
      <c r="B166" s="98" t="s">
        <v>242</v>
      </c>
      <c r="C166" s="28" t="s">
        <v>238</v>
      </c>
      <c r="D166" s="30" t="n">
        <v>121860000</v>
      </c>
      <c r="E166" s="28" t="n">
        <v>2024</v>
      </c>
      <c r="F166" s="98" t="s">
        <v>239</v>
      </c>
      <c r="G166" s="28" t="s">
        <v>232</v>
      </c>
      <c r="H166" s="28" t="s">
        <v>240</v>
      </c>
    </row>
    <row r="167" customFormat="false" ht="15" hidden="true" customHeight="true" outlineLevel="0" collapsed="false">
      <c r="A167" s="98" t="s">
        <v>109</v>
      </c>
      <c r="B167" s="98" t="s">
        <v>244</v>
      </c>
      <c r="C167" s="28" t="s">
        <v>238</v>
      </c>
      <c r="D167" s="30" t="n">
        <v>164910000</v>
      </c>
      <c r="E167" s="28" t="n">
        <v>2025</v>
      </c>
      <c r="F167" s="98" t="s">
        <v>239</v>
      </c>
      <c r="G167" s="28" t="s">
        <v>229</v>
      </c>
      <c r="H167" s="28" t="s">
        <v>243</v>
      </c>
    </row>
    <row r="168" customFormat="false" ht="15" hidden="true" customHeight="true" outlineLevel="0" collapsed="false">
      <c r="A168" s="98" t="s">
        <v>112</v>
      </c>
      <c r="B168" s="98" t="s">
        <v>226</v>
      </c>
      <c r="C168" s="28" t="s">
        <v>227</v>
      </c>
      <c r="D168" s="30" t="n">
        <v>140530000</v>
      </c>
      <c r="E168" s="28" t="n">
        <v>2021</v>
      </c>
      <c r="F168" s="98" t="s">
        <v>228</v>
      </c>
      <c r="G168" s="28" t="s">
        <v>229</v>
      </c>
      <c r="H168" s="28" t="s">
        <v>235</v>
      </c>
    </row>
    <row r="169" customFormat="false" ht="15" hidden="true" customHeight="true" outlineLevel="0" collapsed="false">
      <c r="A169" s="98" t="s">
        <v>112</v>
      </c>
      <c r="B169" s="98" t="s">
        <v>231</v>
      </c>
      <c r="C169" s="28" t="s">
        <v>227</v>
      </c>
      <c r="D169" s="30" t="n">
        <v>33550000</v>
      </c>
      <c r="E169" s="28" t="n">
        <v>2023</v>
      </c>
      <c r="F169" s="98" t="s">
        <v>228</v>
      </c>
      <c r="G169" s="28" t="s">
        <v>229</v>
      </c>
      <c r="H169" s="28" t="s">
        <v>230</v>
      </c>
    </row>
    <row r="170" customFormat="false" ht="15" hidden="true" customHeight="true" outlineLevel="0" collapsed="false">
      <c r="A170" s="98" t="s">
        <v>112</v>
      </c>
      <c r="B170" s="98" t="s">
        <v>234</v>
      </c>
      <c r="C170" s="28" t="s">
        <v>227</v>
      </c>
      <c r="D170" s="30" t="n">
        <v>113970000</v>
      </c>
      <c r="E170" s="28" t="n">
        <v>2024</v>
      </c>
      <c r="F170" s="98" t="s">
        <v>228</v>
      </c>
      <c r="G170" s="28" t="s">
        <v>232</v>
      </c>
      <c r="H170" s="28" t="s">
        <v>233</v>
      </c>
    </row>
    <row r="171" customFormat="false" ht="15" hidden="true" customHeight="true" outlineLevel="0" collapsed="false">
      <c r="A171" s="98" t="s">
        <v>112</v>
      </c>
      <c r="B171" s="98" t="s">
        <v>236</v>
      </c>
      <c r="C171" s="28" t="s">
        <v>227</v>
      </c>
      <c r="D171" s="30" t="n">
        <v>53740000</v>
      </c>
      <c r="E171" s="28" t="n">
        <v>2021</v>
      </c>
      <c r="F171" s="98" t="s">
        <v>228</v>
      </c>
      <c r="G171" s="28" t="s">
        <v>229</v>
      </c>
      <c r="H171" s="28" t="s">
        <v>246</v>
      </c>
    </row>
    <row r="172" customFormat="false" ht="27.75" hidden="true" customHeight="true" outlineLevel="0" collapsed="false">
      <c r="A172" s="98" t="s">
        <v>112</v>
      </c>
      <c r="B172" s="98" t="s">
        <v>247</v>
      </c>
      <c r="C172" s="28" t="s">
        <v>227</v>
      </c>
      <c r="D172" s="30" t="n">
        <v>64920000</v>
      </c>
      <c r="E172" s="28" t="n">
        <v>2021</v>
      </c>
      <c r="F172" s="98" t="s">
        <v>228</v>
      </c>
      <c r="G172" s="28" t="s">
        <v>229</v>
      </c>
      <c r="H172" s="28" t="s">
        <v>248</v>
      </c>
    </row>
    <row r="173" customFormat="false" ht="15" hidden="true" customHeight="true" outlineLevel="0" collapsed="false">
      <c r="A173" s="98" t="s">
        <v>112</v>
      </c>
      <c r="B173" s="98" t="s">
        <v>249</v>
      </c>
      <c r="C173" s="28" t="s">
        <v>227</v>
      </c>
      <c r="D173" s="30" t="n">
        <v>59720000</v>
      </c>
      <c r="E173" s="28" t="n">
        <v>2025</v>
      </c>
      <c r="F173" s="98" t="s">
        <v>228</v>
      </c>
      <c r="G173" s="28" t="s">
        <v>229</v>
      </c>
      <c r="H173" s="28" t="s">
        <v>248</v>
      </c>
    </row>
    <row r="174" customFormat="false" ht="15" hidden="true" customHeight="true" outlineLevel="0" collapsed="false">
      <c r="A174" s="98" t="s">
        <v>112</v>
      </c>
      <c r="B174" s="98" t="s">
        <v>250</v>
      </c>
      <c r="C174" s="28" t="s">
        <v>227</v>
      </c>
      <c r="D174" s="30" t="n">
        <v>239220000</v>
      </c>
      <c r="E174" s="28" t="n">
        <v>2025</v>
      </c>
      <c r="F174" s="98" t="s">
        <v>228</v>
      </c>
      <c r="G174" s="28" t="s">
        <v>229</v>
      </c>
      <c r="H174" s="28" t="s">
        <v>230</v>
      </c>
    </row>
    <row r="175" customFormat="false" ht="15" hidden="true" customHeight="true" outlineLevel="0" collapsed="false">
      <c r="A175" s="98" t="s">
        <v>112</v>
      </c>
      <c r="B175" s="98" t="s">
        <v>237</v>
      </c>
      <c r="C175" s="28" t="s">
        <v>238</v>
      </c>
      <c r="D175" s="30" t="n">
        <v>28150000</v>
      </c>
      <c r="E175" s="28" t="n">
        <v>2025</v>
      </c>
      <c r="F175" s="98" t="s">
        <v>239</v>
      </c>
      <c r="G175" s="28" t="s">
        <v>232</v>
      </c>
      <c r="H175" s="28" t="s">
        <v>240</v>
      </c>
    </row>
    <row r="176" customFormat="false" ht="15" hidden="true" customHeight="true" outlineLevel="0" collapsed="false">
      <c r="A176" s="98" t="s">
        <v>112</v>
      </c>
      <c r="B176" s="98" t="s">
        <v>241</v>
      </c>
      <c r="C176" s="28" t="s">
        <v>238</v>
      </c>
      <c r="D176" s="30" t="n">
        <v>100030000</v>
      </c>
      <c r="E176" s="28" t="n">
        <v>2025</v>
      </c>
      <c r="F176" s="98" t="s">
        <v>239</v>
      </c>
      <c r="G176" s="28" t="s">
        <v>229</v>
      </c>
      <c r="H176" s="28" t="s">
        <v>243</v>
      </c>
    </row>
    <row r="177" customFormat="false" ht="15" hidden="true" customHeight="true" outlineLevel="0" collapsed="false">
      <c r="A177" s="98" t="s">
        <v>112</v>
      </c>
      <c r="B177" s="98" t="s">
        <v>242</v>
      </c>
      <c r="C177" s="28" t="s">
        <v>238</v>
      </c>
      <c r="D177" s="30" t="n">
        <v>56770000</v>
      </c>
      <c r="E177" s="28" t="n">
        <v>2024</v>
      </c>
      <c r="F177" s="98" t="s">
        <v>239</v>
      </c>
      <c r="G177" s="28" t="s">
        <v>232</v>
      </c>
      <c r="H177" s="28" t="s">
        <v>240</v>
      </c>
    </row>
    <row r="178" customFormat="false" ht="15" hidden="true" customHeight="true" outlineLevel="0" collapsed="false">
      <c r="A178" s="98" t="s">
        <v>112</v>
      </c>
      <c r="B178" s="98" t="s">
        <v>244</v>
      </c>
      <c r="C178" s="28" t="s">
        <v>238</v>
      </c>
      <c r="D178" s="30" t="n">
        <v>15260000</v>
      </c>
      <c r="E178" s="28" t="n">
        <v>2024</v>
      </c>
      <c r="F178" s="98" t="s">
        <v>239</v>
      </c>
      <c r="G178" s="28" t="s">
        <v>232</v>
      </c>
      <c r="H178" s="28" t="s">
        <v>240</v>
      </c>
    </row>
    <row r="179" customFormat="false" ht="15" hidden="true" customHeight="true" outlineLevel="0" collapsed="false">
      <c r="A179" s="98" t="s">
        <v>116</v>
      </c>
      <c r="B179" s="98" t="s">
        <v>226</v>
      </c>
      <c r="C179" s="28" t="s">
        <v>227</v>
      </c>
      <c r="D179" s="30" t="n">
        <v>57820000</v>
      </c>
      <c r="E179" s="28" t="n">
        <v>2024</v>
      </c>
      <c r="F179" s="98" t="s">
        <v>228</v>
      </c>
      <c r="G179" s="28" t="s">
        <v>232</v>
      </c>
      <c r="H179" s="28" t="s">
        <v>233</v>
      </c>
    </row>
    <row r="180" customFormat="false" ht="15" hidden="true" customHeight="true" outlineLevel="0" collapsed="false">
      <c r="A180" s="98" t="s">
        <v>116</v>
      </c>
      <c r="B180" s="98" t="s">
        <v>231</v>
      </c>
      <c r="C180" s="28" t="s">
        <v>227</v>
      </c>
      <c r="D180" s="30" t="n">
        <v>112040000</v>
      </c>
      <c r="E180" s="28" t="n">
        <v>2022</v>
      </c>
      <c r="F180" s="98" t="s">
        <v>228</v>
      </c>
      <c r="G180" s="28" t="s">
        <v>232</v>
      </c>
      <c r="H180" s="28" t="s">
        <v>233</v>
      </c>
    </row>
    <row r="181" customFormat="false" ht="15" hidden="true" customHeight="true" outlineLevel="0" collapsed="false">
      <c r="A181" s="98" t="s">
        <v>116</v>
      </c>
      <c r="B181" s="98" t="s">
        <v>234</v>
      </c>
      <c r="C181" s="28" t="s">
        <v>227</v>
      </c>
      <c r="D181" s="30" t="n">
        <v>95530000</v>
      </c>
      <c r="E181" s="28" t="n">
        <v>2025</v>
      </c>
      <c r="F181" s="98" t="s">
        <v>228</v>
      </c>
      <c r="G181" s="28" t="s">
        <v>229</v>
      </c>
      <c r="H181" s="28" t="s">
        <v>246</v>
      </c>
    </row>
    <row r="182" customFormat="false" ht="15" hidden="true" customHeight="true" outlineLevel="0" collapsed="false">
      <c r="A182" s="98" t="s">
        <v>116</v>
      </c>
      <c r="B182" s="98" t="s">
        <v>236</v>
      </c>
      <c r="C182" s="28" t="s">
        <v>227</v>
      </c>
      <c r="D182" s="30" t="n">
        <v>88050000</v>
      </c>
      <c r="E182" s="28" t="n">
        <v>2022</v>
      </c>
      <c r="F182" s="98" t="s">
        <v>228</v>
      </c>
      <c r="G182" s="28" t="s">
        <v>232</v>
      </c>
      <c r="H182" s="28" t="s">
        <v>233</v>
      </c>
    </row>
    <row r="183" customFormat="false" ht="15" hidden="true" customHeight="true" outlineLevel="0" collapsed="false">
      <c r="A183" s="98" t="s">
        <v>116</v>
      </c>
      <c r="B183" s="98" t="s">
        <v>247</v>
      </c>
      <c r="C183" s="28" t="s">
        <v>227</v>
      </c>
      <c r="D183" s="30" t="n">
        <v>71150000</v>
      </c>
      <c r="E183" s="28" t="n">
        <v>2023</v>
      </c>
      <c r="F183" s="98" t="s">
        <v>228</v>
      </c>
      <c r="G183" s="28" t="s">
        <v>232</v>
      </c>
      <c r="H183" s="28" t="s">
        <v>233</v>
      </c>
    </row>
    <row r="184" customFormat="false" ht="15" hidden="true" customHeight="true" outlineLevel="0" collapsed="false">
      <c r="A184" s="98" t="s">
        <v>116</v>
      </c>
      <c r="B184" s="98" t="s">
        <v>249</v>
      </c>
      <c r="C184" s="28" t="s">
        <v>227</v>
      </c>
      <c r="D184" s="30" t="n">
        <v>126680000</v>
      </c>
      <c r="E184" s="28" t="n">
        <v>2023</v>
      </c>
      <c r="F184" s="98" t="s">
        <v>228</v>
      </c>
      <c r="G184" s="28" t="s">
        <v>232</v>
      </c>
      <c r="H184" s="28" t="s">
        <v>233</v>
      </c>
    </row>
    <row r="185" customFormat="false" ht="15" hidden="true" customHeight="true" outlineLevel="0" collapsed="false">
      <c r="A185" s="98" t="s">
        <v>116</v>
      </c>
      <c r="B185" s="98" t="s">
        <v>250</v>
      </c>
      <c r="C185" s="28" t="s">
        <v>227</v>
      </c>
      <c r="D185" s="30" t="n">
        <v>91360000</v>
      </c>
      <c r="E185" s="28" t="n">
        <v>2021</v>
      </c>
      <c r="F185" s="98" t="s">
        <v>228</v>
      </c>
      <c r="G185" s="28" t="s">
        <v>229</v>
      </c>
      <c r="H185" s="28" t="s">
        <v>230</v>
      </c>
    </row>
    <row r="186" customFormat="false" ht="15" hidden="true" customHeight="true" outlineLevel="0" collapsed="false">
      <c r="A186" s="98" t="s">
        <v>116</v>
      </c>
      <c r="B186" s="98" t="s">
        <v>251</v>
      </c>
      <c r="C186" s="28" t="s">
        <v>227</v>
      </c>
      <c r="D186" s="30" t="n">
        <v>59650000</v>
      </c>
      <c r="E186" s="28" t="n">
        <v>2024</v>
      </c>
      <c r="F186" s="98" t="s">
        <v>228</v>
      </c>
      <c r="G186" s="28" t="s">
        <v>229</v>
      </c>
      <c r="H186" s="28" t="s">
        <v>230</v>
      </c>
    </row>
    <row r="187" customFormat="false" ht="15" hidden="true" customHeight="true" outlineLevel="0" collapsed="false">
      <c r="A187" s="98" t="s">
        <v>116</v>
      </c>
      <c r="B187" s="98" t="s">
        <v>252</v>
      </c>
      <c r="C187" s="28" t="s">
        <v>227</v>
      </c>
      <c r="D187" s="30" t="n">
        <v>74380000</v>
      </c>
      <c r="E187" s="28" t="n">
        <v>2021</v>
      </c>
      <c r="F187" s="98" t="s">
        <v>228</v>
      </c>
      <c r="G187" s="28" t="s">
        <v>232</v>
      </c>
      <c r="H187" s="28" t="s">
        <v>233</v>
      </c>
    </row>
    <row r="188" customFormat="false" ht="15" hidden="true" customHeight="true" outlineLevel="0" collapsed="false">
      <c r="A188" s="98" t="s">
        <v>116</v>
      </c>
      <c r="B188" s="98" t="s">
        <v>237</v>
      </c>
      <c r="C188" s="28" t="s">
        <v>238</v>
      </c>
      <c r="D188" s="30" t="n">
        <v>18520000</v>
      </c>
      <c r="E188" s="28" t="n">
        <v>2024</v>
      </c>
      <c r="F188" s="98" t="s">
        <v>239</v>
      </c>
      <c r="G188" s="28" t="s">
        <v>232</v>
      </c>
      <c r="H188" s="28" t="s">
        <v>240</v>
      </c>
    </row>
    <row r="189" customFormat="false" ht="15" hidden="true" customHeight="true" outlineLevel="0" collapsed="false">
      <c r="A189" s="98" t="s">
        <v>116</v>
      </c>
      <c r="B189" s="98" t="s">
        <v>241</v>
      </c>
      <c r="C189" s="28" t="s">
        <v>238</v>
      </c>
      <c r="D189" s="30" t="n">
        <v>21450000</v>
      </c>
      <c r="E189" s="28" t="n">
        <v>2026</v>
      </c>
      <c r="F189" s="98" t="s">
        <v>239</v>
      </c>
      <c r="G189" s="28" t="s">
        <v>232</v>
      </c>
      <c r="H189" s="28" t="s">
        <v>240</v>
      </c>
    </row>
    <row r="190" customFormat="false" ht="15" hidden="true" customHeight="true" outlineLevel="0" collapsed="false">
      <c r="A190" s="98" t="s">
        <v>116</v>
      </c>
      <c r="B190" s="98" t="s">
        <v>242</v>
      </c>
      <c r="C190" s="28" t="s">
        <v>238</v>
      </c>
      <c r="D190" s="30" t="n">
        <v>25600000</v>
      </c>
      <c r="E190" s="28" t="n">
        <v>2026</v>
      </c>
      <c r="F190" s="98" t="s">
        <v>239</v>
      </c>
      <c r="G190" s="28" t="s">
        <v>232</v>
      </c>
      <c r="H190" s="28" t="s">
        <v>240</v>
      </c>
    </row>
    <row r="191" customFormat="false" ht="15" hidden="true" customHeight="true" outlineLevel="0" collapsed="false">
      <c r="A191" s="98" t="s">
        <v>116</v>
      </c>
      <c r="B191" s="98" t="s">
        <v>244</v>
      </c>
      <c r="C191" s="28" t="s">
        <v>238</v>
      </c>
      <c r="D191" s="30" t="n">
        <v>16630000</v>
      </c>
      <c r="E191" s="28" t="n">
        <v>2023</v>
      </c>
      <c r="F191" s="98" t="s">
        <v>239</v>
      </c>
      <c r="G191" s="28" t="s">
        <v>229</v>
      </c>
      <c r="H191" s="28" t="s">
        <v>243</v>
      </c>
    </row>
    <row r="192" customFormat="false" ht="15" hidden="true" customHeight="true" outlineLevel="0" collapsed="false">
      <c r="A192" s="98" t="s">
        <v>120</v>
      </c>
      <c r="B192" s="98" t="s">
        <v>226</v>
      </c>
      <c r="C192" s="28" t="s">
        <v>227</v>
      </c>
      <c r="D192" s="30" t="n">
        <v>66530000</v>
      </c>
      <c r="E192" s="28" t="n">
        <v>2024</v>
      </c>
      <c r="F192" s="98" t="s">
        <v>228</v>
      </c>
      <c r="G192" s="28" t="s">
        <v>229</v>
      </c>
      <c r="H192" s="28" t="s">
        <v>230</v>
      </c>
    </row>
    <row r="193" customFormat="false" ht="15" hidden="true" customHeight="true" outlineLevel="0" collapsed="false">
      <c r="A193" s="98" t="s">
        <v>120</v>
      </c>
      <c r="B193" s="98" t="s">
        <v>231</v>
      </c>
      <c r="C193" s="28" t="s">
        <v>227</v>
      </c>
      <c r="D193" s="30" t="n">
        <v>30880000</v>
      </c>
      <c r="E193" s="28" t="n">
        <v>2025</v>
      </c>
      <c r="F193" s="98" t="s">
        <v>228</v>
      </c>
      <c r="G193" s="28" t="s">
        <v>232</v>
      </c>
      <c r="H193" s="28" t="s">
        <v>233</v>
      </c>
    </row>
    <row r="194" customFormat="false" ht="15" hidden="true" customHeight="true" outlineLevel="0" collapsed="false">
      <c r="A194" s="98" t="s">
        <v>120</v>
      </c>
      <c r="B194" s="98" t="s">
        <v>234</v>
      </c>
      <c r="C194" s="28" t="s">
        <v>227</v>
      </c>
      <c r="D194" s="30" t="n">
        <v>55870000</v>
      </c>
      <c r="E194" s="28" t="n">
        <v>2024</v>
      </c>
      <c r="F194" s="98" t="s">
        <v>228</v>
      </c>
      <c r="G194" s="28" t="s">
        <v>232</v>
      </c>
      <c r="H194" s="28" t="s">
        <v>233</v>
      </c>
    </row>
    <row r="195" customFormat="false" ht="27.75" hidden="true" customHeight="true" outlineLevel="0" collapsed="false">
      <c r="A195" s="98" t="s">
        <v>120</v>
      </c>
      <c r="B195" s="98" t="s">
        <v>236</v>
      </c>
      <c r="C195" s="28" t="s">
        <v>227</v>
      </c>
      <c r="D195" s="30" t="n">
        <v>28830000</v>
      </c>
      <c r="E195" s="28" t="n">
        <v>2022</v>
      </c>
      <c r="F195" s="98" t="s">
        <v>228</v>
      </c>
      <c r="G195" s="28" t="s">
        <v>229</v>
      </c>
      <c r="H195" s="28" t="s">
        <v>248</v>
      </c>
    </row>
    <row r="196" customFormat="false" ht="27.75" hidden="true" customHeight="true" outlineLevel="0" collapsed="false">
      <c r="A196" s="98" t="s">
        <v>120</v>
      </c>
      <c r="B196" s="98" t="s">
        <v>247</v>
      </c>
      <c r="C196" s="28" t="s">
        <v>227</v>
      </c>
      <c r="D196" s="30" t="n">
        <v>25070000</v>
      </c>
      <c r="E196" s="28" t="n">
        <v>2025</v>
      </c>
      <c r="F196" s="98" t="s">
        <v>228</v>
      </c>
      <c r="G196" s="28" t="s">
        <v>232</v>
      </c>
      <c r="H196" s="28" t="s">
        <v>233</v>
      </c>
    </row>
    <row r="197" customFormat="false" ht="27.75" hidden="true" customHeight="true" outlineLevel="0" collapsed="false">
      <c r="A197" s="98" t="s">
        <v>120</v>
      </c>
      <c r="B197" s="98" t="s">
        <v>249</v>
      </c>
      <c r="C197" s="28" t="s">
        <v>227</v>
      </c>
      <c r="D197" s="30" t="n">
        <v>7860000</v>
      </c>
      <c r="E197" s="28" t="n">
        <v>2021</v>
      </c>
      <c r="F197" s="98" t="s">
        <v>228</v>
      </c>
      <c r="G197" s="28" t="s">
        <v>232</v>
      </c>
      <c r="H197" s="28" t="s">
        <v>233</v>
      </c>
    </row>
    <row r="198" customFormat="false" ht="15" hidden="true" customHeight="true" outlineLevel="0" collapsed="false">
      <c r="A198" s="98" t="s">
        <v>120</v>
      </c>
      <c r="B198" s="98" t="s">
        <v>237</v>
      </c>
      <c r="C198" s="28" t="s">
        <v>238</v>
      </c>
      <c r="D198" s="30" t="n">
        <v>34530000</v>
      </c>
      <c r="E198" s="28" t="n">
        <v>2024</v>
      </c>
      <c r="F198" s="98" t="s">
        <v>239</v>
      </c>
      <c r="G198" s="28" t="s">
        <v>229</v>
      </c>
      <c r="H198" s="28" t="s">
        <v>243</v>
      </c>
    </row>
    <row r="199" customFormat="false" ht="15" hidden="true" customHeight="true" outlineLevel="0" collapsed="false">
      <c r="A199" s="98" t="s">
        <v>120</v>
      </c>
      <c r="B199" s="98" t="s">
        <v>241</v>
      </c>
      <c r="C199" s="28" t="s">
        <v>238</v>
      </c>
      <c r="D199" s="30" t="n">
        <v>18960000</v>
      </c>
      <c r="E199" s="28" t="n">
        <v>2024</v>
      </c>
      <c r="F199" s="98" t="s">
        <v>239</v>
      </c>
      <c r="G199" s="28" t="s">
        <v>229</v>
      </c>
      <c r="H199" s="28" t="s">
        <v>243</v>
      </c>
    </row>
    <row r="200" customFormat="false" ht="27.75" hidden="true" customHeight="true" outlineLevel="0" collapsed="false">
      <c r="A200" s="98" t="s">
        <v>120</v>
      </c>
      <c r="B200" s="98" t="s">
        <v>242</v>
      </c>
      <c r="C200" s="28" t="s">
        <v>238</v>
      </c>
      <c r="D200" s="30" t="n">
        <v>22680000</v>
      </c>
      <c r="E200" s="28" t="n">
        <v>2023</v>
      </c>
      <c r="F200" s="98" t="s">
        <v>239</v>
      </c>
      <c r="G200" s="28" t="s">
        <v>229</v>
      </c>
      <c r="H200" s="28" t="s">
        <v>243</v>
      </c>
    </row>
    <row r="201" customFormat="false" ht="15" hidden="true" customHeight="true" outlineLevel="0" collapsed="false">
      <c r="A201" s="98" t="s">
        <v>122</v>
      </c>
      <c r="B201" s="98" t="s">
        <v>226</v>
      </c>
      <c r="C201" s="28" t="s">
        <v>227</v>
      </c>
      <c r="D201" s="30" t="n">
        <v>192680000</v>
      </c>
      <c r="E201" s="28" t="n">
        <v>2020</v>
      </c>
      <c r="F201" s="98" t="s">
        <v>228</v>
      </c>
      <c r="G201" s="28" t="s">
        <v>229</v>
      </c>
      <c r="H201" s="28" t="s">
        <v>235</v>
      </c>
    </row>
    <row r="202" customFormat="false" ht="15" hidden="true" customHeight="true" outlineLevel="0" collapsed="false">
      <c r="A202" s="98" t="s">
        <v>122</v>
      </c>
      <c r="B202" s="98" t="s">
        <v>231</v>
      </c>
      <c r="C202" s="28" t="s">
        <v>227</v>
      </c>
      <c r="D202" s="30" t="n">
        <v>89450000</v>
      </c>
      <c r="E202" s="28" t="n">
        <v>2021</v>
      </c>
      <c r="F202" s="98" t="s">
        <v>228</v>
      </c>
      <c r="G202" s="28" t="s">
        <v>229</v>
      </c>
      <c r="H202" s="28" t="s">
        <v>248</v>
      </c>
    </row>
    <row r="203" customFormat="false" ht="15" hidden="true" customHeight="true" outlineLevel="0" collapsed="false">
      <c r="A203" s="98" t="s">
        <v>122</v>
      </c>
      <c r="B203" s="98" t="s">
        <v>234</v>
      </c>
      <c r="C203" s="28" t="s">
        <v>227</v>
      </c>
      <c r="D203" s="30" t="n">
        <v>320270000</v>
      </c>
      <c r="E203" s="28" t="n">
        <v>2024</v>
      </c>
      <c r="F203" s="98" t="s">
        <v>228</v>
      </c>
      <c r="G203" s="28" t="s">
        <v>232</v>
      </c>
      <c r="H203" s="28" t="s">
        <v>233</v>
      </c>
    </row>
    <row r="204" customFormat="false" ht="15" hidden="true" customHeight="true" outlineLevel="0" collapsed="false">
      <c r="A204" s="98" t="s">
        <v>122</v>
      </c>
      <c r="B204" s="98" t="s">
        <v>236</v>
      </c>
      <c r="C204" s="28" t="s">
        <v>227</v>
      </c>
      <c r="D204" s="30" t="n">
        <v>153620000</v>
      </c>
      <c r="E204" s="28" t="n">
        <v>2023</v>
      </c>
      <c r="F204" s="98" t="s">
        <v>228</v>
      </c>
      <c r="G204" s="28" t="s">
        <v>229</v>
      </c>
      <c r="H204" s="28" t="s">
        <v>230</v>
      </c>
    </row>
    <row r="205" customFormat="false" ht="15" hidden="true" customHeight="true" outlineLevel="0" collapsed="false">
      <c r="A205" s="98" t="s">
        <v>122</v>
      </c>
      <c r="B205" s="98" t="s">
        <v>247</v>
      </c>
      <c r="C205" s="28" t="s">
        <v>227</v>
      </c>
      <c r="D205" s="30" t="n">
        <v>159410000</v>
      </c>
      <c r="E205" s="28" t="n">
        <v>2023</v>
      </c>
      <c r="F205" s="98" t="s">
        <v>228</v>
      </c>
      <c r="G205" s="28" t="s">
        <v>232</v>
      </c>
      <c r="H205" s="28" t="s">
        <v>233</v>
      </c>
    </row>
    <row r="206" customFormat="false" ht="15" hidden="true" customHeight="true" outlineLevel="0" collapsed="false">
      <c r="A206" s="98" t="s">
        <v>122</v>
      </c>
      <c r="B206" s="98" t="s">
        <v>249</v>
      </c>
      <c r="C206" s="28" t="s">
        <v>227</v>
      </c>
      <c r="D206" s="30" t="n">
        <v>219580000</v>
      </c>
      <c r="E206" s="28" t="n">
        <v>2021</v>
      </c>
      <c r="F206" s="98" t="s">
        <v>228</v>
      </c>
      <c r="G206" s="28" t="s">
        <v>229</v>
      </c>
      <c r="H206" s="28" t="s">
        <v>230</v>
      </c>
    </row>
    <row r="207" customFormat="false" ht="15" hidden="true" customHeight="true" outlineLevel="0" collapsed="false">
      <c r="A207" s="98" t="s">
        <v>122</v>
      </c>
      <c r="B207" s="98" t="s">
        <v>250</v>
      </c>
      <c r="C207" s="28" t="s">
        <v>227</v>
      </c>
      <c r="D207" s="30" t="n">
        <v>143100000</v>
      </c>
      <c r="E207" s="28" t="n">
        <v>2021</v>
      </c>
      <c r="F207" s="98" t="s">
        <v>228</v>
      </c>
      <c r="G207" s="28" t="s">
        <v>229</v>
      </c>
      <c r="H207" s="28" t="s">
        <v>248</v>
      </c>
    </row>
    <row r="208" customFormat="false" ht="15" hidden="true" customHeight="true" outlineLevel="0" collapsed="false">
      <c r="A208" s="98" t="s">
        <v>122</v>
      </c>
      <c r="B208" s="98" t="s">
        <v>237</v>
      </c>
      <c r="C208" s="28" t="s">
        <v>238</v>
      </c>
      <c r="D208" s="30" t="n">
        <v>128980000</v>
      </c>
      <c r="E208" s="28" t="n">
        <v>2025</v>
      </c>
      <c r="F208" s="98" t="s">
        <v>239</v>
      </c>
      <c r="G208" s="28" t="s">
        <v>232</v>
      </c>
      <c r="H208" s="28" t="s">
        <v>240</v>
      </c>
    </row>
    <row r="209" customFormat="false" ht="15" hidden="true" customHeight="true" outlineLevel="0" collapsed="false">
      <c r="A209" s="98" t="s">
        <v>122</v>
      </c>
      <c r="B209" s="98" t="s">
        <v>241</v>
      </c>
      <c r="C209" s="28" t="s">
        <v>238</v>
      </c>
      <c r="D209" s="30" t="n">
        <v>49290000</v>
      </c>
      <c r="E209" s="28" t="n">
        <v>2025</v>
      </c>
      <c r="F209" s="98" t="s">
        <v>239</v>
      </c>
      <c r="G209" s="28" t="s">
        <v>229</v>
      </c>
      <c r="H209" s="28" t="s">
        <v>243</v>
      </c>
    </row>
    <row r="210" customFormat="false" ht="15" hidden="true" customHeight="true" outlineLevel="0" collapsed="false">
      <c r="A210" s="98" t="s">
        <v>122</v>
      </c>
      <c r="B210" s="98" t="s">
        <v>242</v>
      </c>
      <c r="C210" s="28" t="s">
        <v>238</v>
      </c>
      <c r="D210" s="30" t="n">
        <v>38770000</v>
      </c>
      <c r="E210" s="28" t="n">
        <v>2024</v>
      </c>
      <c r="F210" s="98" t="s">
        <v>239</v>
      </c>
      <c r="G210" s="28" t="s">
        <v>232</v>
      </c>
      <c r="H210" s="28" t="s">
        <v>240</v>
      </c>
    </row>
    <row r="211" customFormat="false" ht="15" hidden="true" customHeight="true" outlineLevel="0" collapsed="false">
      <c r="A211" s="98" t="s">
        <v>124</v>
      </c>
      <c r="B211" s="98" t="s">
        <v>226</v>
      </c>
      <c r="C211" s="28" t="s">
        <v>227</v>
      </c>
      <c r="D211" s="30" t="n">
        <v>64400000</v>
      </c>
      <c r="E211" s="28" t="n">
        <v>2024</v>
      </c>
      <c r="F211" s="98" t="s">
        <v>228</v>
      </c>
      <c r="G211" s="28" t="s">
        <v>229</v>
      </c>
      <c r="H211" s="28" t="s">
        <v>230</v>
      </c>
    </row>
    <row r="212" customFormat="false" ht="15" hidden="true" customHeight="true" outlineLevel="0" collapsed="false">
      <c r="A212" s="98" t="s">
        <v>124</v>
      </c>
      <c r="B212" s="98" t="s">
        <v>231</v>
      </c>
      <c r="C212" s="28" t="s">
        <v>227</v>
      </c>
      <c r="D212" s="30" t="n">
        <v>101340000</v>
      </c>
      <c r="E212" s="28" t="n">
        <v>2025</v>
      </c>
      <c r="F212" s="98" t="s">
        <v>228</v>
      </c>
      <c r="G212" s="28" t="s">
        <v>229</v>
      </c>
      <c r="H212" s="28" t="s">
        <v>246</v>
      </c>
    </row>
    <row r="213" customFormat="false" ht="15" hidden="true" customHeight="true" outlineLevel="0" collapsed="false">
      <c r="A213" s="98" t="s">
        <v>124</v>
      </c>
      <c r="B213" s="98" t="s">
        <v>234</v>
      </c>
      <c r="C213" s="28" t="s">
        <v>227</v>
      </c>
      <c r="D213" s="30" t="n">
        <v>124750000</v>
      </c>
      <c r="E213" s="28" t="n">
        <v>2023</v>
      </c>
      <c r="F213" s="98" t="s">
        <v>228</v>
      </c>
      <c r="G213" s="28" t="s">
        <v>232</v>
      </c>
      <c r="H213" s="28" t="s">
        <v>233</v>
      </c>
    </row>
    <row r="214" customFormat="false" ht="15" hidden="true" customHeight="true" outlineLevel="0" collapsed="false">
      <c r="A214" s="98" t="s">
        <v>124</v>
      </c>
      <c r="B214" s="98" t="s">
        <v>236</v>
      </c>
      <c r="C214" s="28" t="s">
        <v>227</v>
      </c>
      <c r="D214" s="30" t="n">
        <v>186620000</v>
      </c>
      <c r="E214" s="28" t="n">
        <v>2023</v>
      </c>
      <c r="F214" s="98" t="s">
        <v>228</v>
      </c>
      <c r="G214" s="28" t="s">
        <v>232</v>
      </c>
      <c r="H214" s="28" t="s">
        <v>233</v>
      </c>
    </row>
    <row r="215" customFormat="false" ht="15" hidden="true" customHeight="true" outlineLevel="0" collapsed="false">
      <c r="A215" s="98" t="s">
        <v>124</v>
      </c>
      <c r="B215" s="98" t="s">
        <v>247</v>
      </c>
      <c r="C215" s="28" t="s">
        <v>227</v>
      </c>
      <c r="D215" s="30" t="n">
        <v>23330000</v>
      </c>
      <c r="E215" s="28" t="n">
        <v>2019</v>
      </c>
      <c r="F215" s="98" t="s">
        <v>228</v>
      </c>
      <c r="G215" s="28" t="s">
        <v>229</v>
      </c>
      <c r="H215" s="28" t="s">
        <v>235</v>
      </c>
    </row>
    <row r="216" customFormat="false" ht="15" hidden="true" customHeight="true" outlineLevel="0" collapsed="false">
      <c r="A216" s="98" t="s">
        <v>124</v>
      </c>
      <c r="B216" s="98" t="s">
        <v>249</v>
      </c>
      <c r="C216" s="28" t="s">
        <v>227</v>
      </c>
      <c r="D216" s="30" t="n">
        <v>190490000</v>
      </c>
      <c r="E216" s="28" t="n">
        <v>2024</v>
      </c>
      <c r="F216" s="98" t="s">
        <v>228</v>
      </c>
      <c r="G216" s="28" t="s">
        <v>229</v>
      </c>
      <c r="H216" s="28" t="s">
        <v>246</v>
      </c>
    </row>
    <row r="217" customFormat="false" ht="15" hidden="true" customHeight="true" outlineLevel="0" collapsed="false">
      <c r="A217" s="98" t="s">
        <v>124</v>
      </c>
      <c r="B217" s="98" t="s">
        <v>250</v>
      </c>
      <c r="C217" s="28" t="s">
        <v>227</v>
      </c>
      <c r="D217" s="30" t="n">
        <v>52110000</v>
      </c>
      <c r="E217" s="28" t="n">
        <v>2020</v>
      </c>
      <c r="F217" s="98" t="s">
        <v>228</v>
      </c>
      <c r="G217" s="28" t="s">
        <v>232</v>
      </c>
      <c r="H217" s="28" t="s">
        <v>233</v>
      </c>
    </row>
    <row r="218" customFormat="false" ht="15" hidden="true" customHeight="true" outlineLevel="0" collapsed="false">
      <c r="A218" s="98" t="s">
        <v>124</v>
      </c>
      <c r="B218" s="98" t="s">
        <v>251</v>
      </c>
      <c r="C218" s="28" t="s">
        <v>227</v>
      </c>
      <c r="D218" s="30" t="n">
        <v>145860000</v>
      </c>
      <c r="E218" s="28" t="n">
        <v>2025</v>
      </c>
      <c r="F218" s="98" t="s">
        <v>228</v>
      </c>
      <c r="G218" s="28" t="s">
        <v>229</v>
      </c>
      <c r="H218" s="28" t="s">
        <v>230</v>
      </c>
    </row>
    <row r="219" customFormat="false" ht="15" hidden="true" customHeight="true" outlineLevel="0" collapsed="false">
      <c r="A219" s="98" t="s">
        <v>124</v>
      </c>
      <c r="B219" s="98" t="s">
        <v>252</v>
      </c>
      <c r="C219" s="28" t="s">
        <v>227</v>
      </c>
      <c r="D219" s="30" t="n">
        <v>111820000</v>
      </c>
      <c r="E219" s="28" t="n">
        <v>2022</v>
      </c>
      <c r="F219" s="98" t="s">
        <v>228</v>
      </c>
      <c r="G219" s="28" t="s">
        <v>229</v>
      </c>
      <c r="H219" s="28" t="s">
        <v>235</v>
      </c>
    </row>
    <row r="220" customFormat="false" ht="15" hidden="true" customHeight="true" outlineLevel="0" collapsed="false">
      <c r="A220" s="98" t="s">
        <v>124</v>
      </c>
      <c r="B220" s="98" t="s">
        <v>237</v>
      </c>
      <c r="C220" s="28" t="s">
        <v>238</v>
      </c>
      <c r="D220" s="30" t="n">
        <v>22020000</v>
      </c>
      <c r="E220" s="28" t="n">
        <v>2026</v>
      </c>
      <c r="F220" s="98" t="s">
        <v>239</v>
      </c>
      <c r="G220" s="28" t="s">
        <v>229</v>
      </c>
      <c r="H220" s="28" t="s">
        <v>243</v>
      </c>
    </row>
    <row r="221" customFormat="false" ht="27.75" hidden="true" customHeight="true" outlineLevel="0" collapsed="false">
      <c r="A221" s="98" t="s">
        <v>124</v>
      </c>
      <c r="B221" s="98" t="s">
        <v>241</v>
      </c>
      <c r="C221" s="28" t="s">
        <v>238</v>
      </c>
      <c r="D221" s="30" t="n">
        <v>41780000</v>
      </c>
      <c r="E221" s="28" t="n">
        <v>2025</v>
      </c>
      <c r="F221" s="98" t="s">
        <v>239</v>
      </c>
      <c r="G221" s="28" t="s">
        <v>229</v>
      </c>
      <c r="H221" s="28" t="s">
        <v>243</v>
      </c>
    </row>
    <row r="222" customFormat="false" ht="27.75" hidden="true" customHeight="true" outlineLevel="0" collapsed="false">
      <c r="A222" s="98" t="s">
        <v>124</v>
      </c>
      <c r="B222" s="98" t="s">
        <v>242</v>
      </c>
      <c r="C222" s="28" t="s">
        <v>238</v>
      </c>
      <c r="D222" s="30" t="n">
        <v>21000000</v>
      </c>
      <c r="E222" s="28" t="n">
        <v>2023</v>
      </c>
      <c r="F222" s="98" t="s">
        <v>239</v>
      </c>
      <c r="G222" s="28" t="s">
        <v>229</v>
      </c>
      <c r="H222" s="28" t="s">
        <v>243</v>
      </c>
    </row>
    <row r="223" customFormat="false" ht="27.75" hidden="true" customHeight="true" outlineLevel="0" collapsed="false">
      <c r="A223" s="98" t="s">
        <v>124</v>
      </c>
      <c r="B223" s="98" t="s">
        <v>244</v>
      </c>
      <c r="C223" s="28" t="s">
        <v>238</v>
      </c>
      <c r="D223" s="30" t="n">
        <v>34610000</v>
      </c>
      <c r="E223" s="28" t="n">
        <v>2023</v>
      </c>
      <c r="F223" s="98" t="s">
        <v>239</v>
      </c>
      <c r="G223" s="28" t="s">
        <v>232</v>
      </c>
      <c r="H223" s="28" t="s">
        <v>240</v>
      </c>
    </row>
    <row r="224" customFormat="false" ht="42" hidden="true" customHeight="true" outlineLevel="0" collapsed="false">
      <c r="A224" s="98" t="s">
        <v>127</v>
      </c>
      <c r="B224" s="98" t="s">
        <v>226</v>
      </c>
      <c r="C224" s="28" t="s">
        <v>227</v>
      </c>
      <c r="D224" s="30" t="n">
        <v>241920000</v>
      </c>
      <c r="E224" s="28" t="n">
        <v>2021</v>
      </c>
      <c r="F224" s="98" t="s">
        <v>228</v>
      </c>
      <c r="G224" s="28" t="s">
        <v>229</v>
      </c>
      <c r="H224" s="28" t="s">
        <v>235</v>
      </c>
    </row>
    <row r="225" customFormat="false" ht="27.75" hidden="true" customHeight="true" outlineLevel="0" collapsed="false">
      <c r="A225" s="98" t="s">
        <v>127</v>
      </c>
      <c r="B225" s="98" t="s">
        <v>231</v>
      </c>
      <c r="C225" s="28" t="s">
        <v>227</v>
      </c>
      <c r="D225" s="30" t="n">
        <v>330470000</v>
      </c>
      <c r="E225" s="28" t="n">
        <v>2019</v>
      </c>
      <c r="F225" s="98" t="s">
        <v>228</v>
      </c>
      <c r="G225" s="28" t="s">
        <v>229</v>
      </c>
      <c r="H225" s="28" t="s">
        <v>246</v>
      </c>
    </row>
    <row r="226" customFormat="false" ht="27.75" hidden="true" customHeight="true" outlineLevel="0" collapsed="false">
      <c r="A226" s="98" t="s">
        <v>127</v>
      </c>
      <c r="B226" s="98" t="s">
        <v>234</v>
      </c>
      <c r="C226" s="28" t="s">
        <v>227</v>
      </c>
      <c r="D226" s="30" t="n">
        <v>351090000</v>
      </c>
      <c r="E226" s="28" t="n">
        <v>2023</v>
      </c>
      <c r="F226" s="98" t="s">
        <v>228</v>
      </c>
      <c r="G226" s="28" t="s">
        <v>232</v>
      </c>
      <c r="H226" s="28" t="s">
        <v>233</v>
      </c>
    </row>
    <row r="227" customFormat="false" ht="27.75" hidden="true" customHeight="true" outlineLevel="0" collapsed="false">
      <c r="A227" s="98" t="s">
        <v>127</v>
      </c>
      <c r="B227" s="98" t="s">
        <v>236</v>
      </c>
      <c r="C227" s="28" t="s">
        <v>227</v>
      </c>
      <c r="D227" s="30" t="n">
        <v>639140000</v>
      </c>
      <c r="E227" s="28" t="n">
        <v>2024</v>
      </c>
      <c r="F227" s="98" t="s">
        <v>228</v>
      </c>
      <c r="G227" s="28" t="s">
        <v>232</v>
      </c>
      <c r="H227" s="28" t="s">
        <v>233</v>
      </c>
    </row>
    <row r="228" customFormat="false" ht="42" hidden="true" customHeight="true" outlineLevel="0" collapsed="false">
      <c r="A228" s="98" t="s">
        <v>127</v>
      </c>
      <c r="B228" s="98" t="s">
        <v>247</v>
      </c>
      <c r="C228" s="28" t="s">
        <v>227</v>
      </c>
      <c r="D228" s="30" t="n">
        <v>590410000</v>
      </c>
      <c r="E228" s="28" t="n">
        <v>2025</v>
      </c>
      <c r="F228" s="98" t="s">
        <v>228</v>
      </c>
      <c r="G228" s="28" t="s">
        <v>229</v>
      </c>
      <c r="H228" s="28" t="s">
        <v>235</v>
      </c>
    </row>
    <row r="229" customFormat="false" ht="42" hidden="true" customHeight="true" outlineLevel="0" collapsed="false">
      <c r="A229" s="98" t="s">
        <v>127</v>
      </c>
      <c r="B229" s="98" t="s">
        <v>249</v>
      </c>
      <c r="C229" s="28" t="s">
        <v>227</v>
      </c>
      <c r="D229" s="30" t="n">
        <v>429430000</v>
      </c>
      <c r="E229" s="28" t="n">
        <v>2020</v>
      </c>
      <c r="F229" s="98" t="s">
        <v>228</v>
      </c>
      <c r="G229" s="28" t="s">
        <v>229</v>
      </c>
      <c r="H229" s="28" t="s">
        <v>248</v>
      </c>
    </row>
    <row r="230" customFormat="false" ht="42" hidden="true" customHeight="true" outlineLevel="0" collapsed="false">
      <c r="A230" s="98" t="s">
        <v>127</v>
      </c>
      <c r="B230" s="98" t="s">
        <v>237</v>
      </c>
      <c r="C230" s="28" t="s">
        <v>238</v>
      </c>
      <c r="D230" s="30" t="n">
        <v>113020000</v>
      </c>
      <c r="E230" s="28" t="n">
        <v>2024</v>
      </c>
      <c r="F230" s="98" t="s">
        <v>239</v>
      </c>
      <c r="G230" s="28" t="s">
        <v>232</v>
      </c>
      <c r="H230" s="28" t="s">
        <v>240</v>
      </c>
    </row>
    <row r="231" customFormat="false" ht="27.75" hidden="true" customHeight="true" outlineLevel="0" collapsed="false">
      <c r="A231" s="98" t="s">
        <v>127</v>
      </c>
      <c r="B231" s="98" t="s">
        <v>241</v>
      </c>
      <c r="C231" s="28" t="s">
        <v>238</v>
      </c>
      <c r="D231" s="30" t="n">
        <v>108570000</v>
      </c>
      <c r="E231" s="28" t="n">
        <v>2023</v>
      </c>
      <c r="F231" s="98" t="s">
        <v>239</v>
      </c>
      <c r="G231" s="28" t="s">
        <v>229</v>
      </c>
      <c r="H231" s="28" t="s">
        <v>243</v>
      </c>
    </row>
    <row r="232" customFormat="false" ht="27.75" hidden="true" customHeight="true" outlineLevel="0" collapsed="false">
      <c r="A232" s="98" t="s">
        <v>127</v>
      </c>
      <c r="B232" s="98" t="s">
        <v>242</v>
      </c>
      <c r="C232" s="28" t="s">
        <v>238</v>
      </c>
      <c r="D232" s="30" t="n">
        <v>89430000</v>
      </c>
      <c r="E232" s="28" t="n">
        <v>2024</v>
      </c>
      <c r="F232" s="98" t="s">
        <v>239</v>
      </c>
      <c r="G232" s="28" t="s">
        <v>229</v>
      </c>
      <c r="H232" s="28" t="s">
        <v>243</v>
      </c>
    </row>
    <row r="233" customFormat="false" ht="27.75" hidden="true" customHeight="true" outlineLevel="0" collapsed="false">
      <c r="A233" s="98" t="s">
        <v>127</v>
      </c>
      <c r="B233" s="98" t="s">
        <v>244</v>
      </c>
      <c r="C233" s="28" t="s">
        <v>238</v>
      </c>
      <c r="D233" s="30" t="n">
        <v>62860000</v>
      </c>
      <c r="E233" s="28" t="n">
        <v>2023</v>
      </c>
      <c r="F233" s="98" t="s">
        <v>239</v>
      </c>
      <c r="G233" s="28" t="s">
        <v>232</v>
      </c>
      <c r="H233" s="28" t="s">
        <v>240</v>
      </c>
    </row>
    <row r="234" customFormat="false" ht="27.75" hidden="true" customHeight="true" outlineLevel="0" collapsed="false">
      <c r="A234" s="98" t="s">
        <v>127</v>
      </c>
      <c r="B234" s="98" t="s">
        <v>245</v>
      </c>
      <c r="C234" s="28" t="s">
        <v>238</v>
      </c>
      <c r="D234" s="30" t="n">
        <v>87580000</v>
      </c>
      <c r="E234" s="28" t="n">
        <v>2023</v>
      </c>
      <c r="F234" s="98" t="s">
        <v>239</v>
      </c>
      <c r="G234" s="28" t="s">
        <v>232</v>
      </c>
      <c r="H234" s="28" t="s">
        <v>240</v>
      </c>
    </row>
    <row r="235" customFormat="false" ht="27.75" hidden="true" customHeight="true" outlineLevel="0" collapsed="false">
      <c r="A235" s="98" t="s">
        <v>129</v>
      </c>
      <c r="B235" s="98" t="s">
        <v>226</v>
      </c>
      <c r="C235" s="28" t="s">
        <v>227</v>
      </c>
      <c r="D235" s="30" t="n">
        <v>349120000</v>
      </c>
      <c r="E235" s="28" t="n">
        <v>2024</v>
      </c>
      <c r="F235" s="98" t="s">
        <v>228</v>
      </c>
      <c r="G235" s="28" t="s">
        <v>232</v>
      </c>
      <c r="H235" s="28" t="s">
        <v>233</v>
      </c>
    </row>
    <row r="236" customFormat="false" ht="27.75" hidden="true" customHeight="true" outlineLevel="0" collapsed="false">
      <c r="A236" s="98" t="s">
        <v>129</v>
      </c>
      <c r="B236" s="98" t="s">
        <v>231</v>
      </c>
      <c r="C236" s="28" t="s">
        <v>227</v>
      </c>
      <c r="D236" s="30" t="n">
        <v>137840000</v>
      </c>
      <c r="E236" s="28" t="n">
        <v>2020</v>
      </c>
      <c r="F236" s="98" t="s">
        <v>228</v>
      </c>
      <c r="G236" s="28" t="s">
        <v>232</v>
      </c>
      <c r="H236" s="28" t="s">
        <v>233</v>
      </c>
    </row>
    <row r="237" customFormat="false" ht="42" hidden="true" customHeight="true" outlineLevel="0" collapsed="false">
      <c r="A237" s="98" t="s">
        <v>129</v>
      </c>
      <c r="B237" s="98" t="s">
        <v>234</v>
      </c>
      <c r="C237" s="28" t="s">
        <v>227</v>
      </c>
      <c r="D237" s="30" t="n">
        <v>313650000</v>
      </c>
      <c r="E237" s="28" t="n">
        <v>2025</v>
      </c>
      <c r="F237" s="98" t="s">
        <v>228</v>
      </c>
      <c r="G237" s="28" t="s">
        <v>232</v>
      </c>
      <c r="H237" s="28" t="s">
        <v>233</v>
      </c>
    </row>
    <row r="238" customFormat="false" ht="27.75" hidden="true" customHeight="true" outlineLevel="0" collapsed="false">
      <c r="A238" s="98" t="s">
        <v>129</v>
      </c>
      <c r="B238" s="98" t="s">
        <v>236</v>
      </c>
      <c r="C238" s="28" t="s">
        <v>227</v>
      </c>
      <c r="D238" s="30" t="n">
        <v>249970000</v>
      </c>
      <c r="E238" s="28" t="n">
        <v>2024</v>
      </c>
      <c r="F238" s="98" t="s">
        <v>228</v>
      </c>
      <c r="G238" s="28" t="s">
        <v>229</v>
      </c>
      <c r="H238" s="28" t="s">
        <v>235</v>
      </c>
    </row>
    <row r="239" customFormat="false" ht="27.75" hidden="true" customHeight="true" outlineLevel="0" collapsed="false">
      <c r="A239" s="98" t="s">
        <v>129</v>
      </c>
      <c r="B239" s="98" t="s">
        <v>247</v>
      </c>
      <c r="C239" s="28" t="s">
        <v>227</v>
      </c>
      <c r="D239" s="30" t="n">
        <v>118010000</v>
      </c>
      <c r="E239" s="28" t="n">
        <v>2022</v>
      </c>
      <c r="F239" s="98" t="s">
        <v>228</v>
      </c>
      <c r="G239" s="28" t="s">
        <v>232</v>
      </c>
      <c r="H239" s="28" t="s">
        <v>233</v>
      </c>
    </row>
    <row r="240" customFormat="false" ht="42" hidden="true" customHeight="true" outlineLevel="0" collapsed="false">
      <c r="A240" s="98" t="s">
        <v>129</v>
      </c>
      <c r="B240" s="98" t="s">
        <v>249</v>
      </c>
      <c r="C240" s="28" t="s">
        <v>227</v>
      </c>
      <c r="D240" s="30" t="n">
        <v>238660000</v>
      </c>
      <c r="E240" s="28" t="n">
        <v>2022</v>
      </c>
      <c r="F240" s="98" t="s">
        <v>228</v>
      </c>
      <c r="G240" s="28" t="s">
        <v>229</v>
      </c>
      <c r="H240" s="28" t="s">
        <v>230</v>
      </c>
    </row>
    <row r="241" customFormat="false" ht="27.75" hidden="true" customHeight="true" outlineLevel="0" collapsed="false">
      <c r="A241" s="98" t="s">
        <v>129</v>
      </c>
      <c r="B241" s="98" t="s">
        <v>250</v>
      </c>
      <c r="C241" s="28" t="s">
        <v>227</v>
      </c>
      <c r="D241" s="30" t="n">
        <v>164010000</v>
      </c>
      <c r="E241" s="28" t="n">
        <v>2019</v>
      </c>
      <c r="F241" s="98" t="s">
        <v>228</v>
      </c>
      <c r="G241" s="28" t="s">
        <v>229</v>
      </c>
      <c r="H241" s="28" t="s">
        <v>246</v>
      </c>
    </row>
    <row r="242" customFormat="false" ht="27.75" hidden="true" customHeight="true" outlineLevel="0" collapsed="false">
      <c r="A242" s="98" t="s">
        <v>129</v>
      </c>
      <c r="B242" s="98" t="s">
        <v>237</v>
      </c>
      <c r="C242" s="28" t="s">
        <v>238</v>
      </c>
      <c r="D242" s="30" t="n">
        <v>113700000</v>
      </c>
      <c r="E242" s="28" t="n">
        <v>2025</v>
      </c>
      <c r="F242" s="98" t="s">
        <v>239</v>
      </c>
      <c r="G242" s="28" t="s">
        <v>232</v>
      </c>
      <c r="H242" s="28" t="s">
        <v>240</v>
      </c>
    </row>
    <row r="243" customFormat="false" ht="42" hidden="true" customHeight="true" outlineLevel="0" collapsed="false">
      <c r="A243" s="98" t="s">
        <v>129</v>
      </c>
      <c r="B243" s="98" t="s">
        <v>241</v>
      </c>
      <c r="C243" s="28" t="s">
        <v>238</v>
      </c>
      <c r="D243" s="30" t="n">
        <v>68040000</v>
      </c>
      <c r="E243" s="28" t="n">
        <v>2025</v>
      </c>
      <c r="F243" s="98" t="s">
        <v>239</v>
      </c>
      <c r="G243" s="28" t="s">
        <v>232</v>
      </c>
      <c r="H243" s="28" t="s">
        <v>240</v>
      </c>
    </row>
    <row r="244" customFormat="false" ht="27.75" hidden="true" customHeight="true" outlineLevel="0" collapsed="false">
      <c r="A244" s="98" t="s">
        <v>129</v>
      </c>
      <c r="B244" s="98" t="s">
        <v>242</v>
      </c>
      <c r="C244" s="28" t="s">
        <v>238</v>
      </c>
      <c r="D244" s="30" t="n">
        <v>59470000</v>
      </c>
      <c r="E244" s="28" t="n">
        <v>2025</v>
      </c>
      <c r="F244" s="98" t="s">
        <v>239</v>
      </c>
      <c r="G244" s="28" t="s">
        <v>229</v>
      </c>
      <c r="H244" s="28" t="s">
        <v>243</v>
      </c>
    </row>
    <row r="245" customFormat="false" ht="42" hidden="true" customHeight="true" outlineLevel="0" collapsed="false">
      <c r="A245" s="98" t="s">
        <v>129</v>
      </c>
      <c r="B245" s="98" t="s">
        <v>244</v>
      </c>
      <c r="C245" s="28" t="s">
        <v>238</v>
      </c>
      <c r="D245" s="30" t="n">
        <v>102690000</v>
      </c>
      <c r="E245" s="28" t="n">
        <v>2023</v>
      </c>
      <c r="F245" s="98" t="s">
        <v>239</v>
      </c>
      <c r="G245" s="28" t="s">
        <v>232</v>
      </c>
      <c r="H245" s="28" t="s">
        <v>240</v>
      </c>
    </row>
    <row r="246" customFormat="false" ht="42" hidden="true" customHeight="true" outlineLevel="0" collapsed="false">
      <c r="A246" s="98" t="s">
        <v>132</v>
      </c>
      <c r="B246" s="98" t="s">
        <v>226</v>
      </c>
      <c r="C246" s="28" t="s">
        <v>227</v>
      </c>
      <c r="D246" s="30" t="n">
        <v>133050000</v>
      </c>
      <c r="E246" s="28" t="n">
        <v>2020</v>
      </c>
      <c r="F246" s="98" t="s">
        <v>228</v>
      </c>
      <c r="G246" s="28" t="s">
        <v>229</v>
      </c>
      <c r="H246" s="28" t="s">
        <v>248</v>
      </c>
    </row>
    <row r="247" customFormat="false" ht="42" hidden="true" customHeight="true" outlineLevel="0" collapsed="false">
      <c r="A247" s="98" t="s">
        <v>132</v>
      </c>
      <c r="B247" s="98" t="s">
        <v>231</v>
      </c>
      <c r="C247" s="28" t="s">
        <v>227</v>
      </c>
      <c r="D247" s="30" t="n">
        <v>110730000</v>
      </c>
      <c r="E247" s="28" t="n">
        <v>2024</v>
      </c>
      <c r="F247" s="98" t="s">
        <v>228</v>
      </c>
      <c r="G247" s="28" t="s">
        <v>229</v>
      </c>
      <c r="H247" s="28" t="s">
        <v>246</v>
      </c>
    </row>
    <row r="248" customFormat="false" ht="27.75" hidden="true" customHeight="true" outlineLevel="0" collapsed="false">
      <c r="A248" s="98" t="s">
        <v>132</v>
      </c>
      <c r="B248" s="98" t="s">
        <v>234</v>
      </c>
      <c r="C248" s="28" t="s">
        <v>227</v>
      </c>
      <c r="D248" s="30" t="n">
        <v>30140000</v>
      </c>
      <c r="E248" s="28" t="n">
        <v>2019</v>
      </c>
      <c r="F248" s="98" t="s">
        <v>228</v>
      </c>
      <c r="G248" s="28" t="s">
        <v>229</v>
      </c>
      <c r="H248" s="28" t="s">
        <v>248</v>
      </c>
    </row>
    <row r="249" customFormat="false" ht="27.75" hidden="true" customHeight="true" outlineLevel="0" collapsed="false">
      <c r="A249" s="98" t="s">
        <v>132</v>
      </c>
      <c r="B249" s="98" t="s">
        <v>236</v>
      </c>
      <c r="C249" s="28" t="s">
        <v>227</v>
      </c>
      <c r="D249" s="30" t="n">
        <v>96690000</v>
      </c>
      <c r="E249" s="28" t="n">
        <v>2019</v>
      </c>
      <c r="F249" s="98" t="s">
        <v>228</v>
      </c>
      <c r="G249" s="28" t="s">
        <v>232</v>
      </c>
      <c r="H249" s="28" t="s">
        <v>233</v>
      </c>
    </row>
    <row r="250" customFormat="false" ht="27.75" hidden="true" customHeight="true" outlineLevel="0" collapsed="false">
      <c r="A250" s="98" t="s">
        <v>132</v>
      </c>
      <c r="B250" s="98" t="s">
        <v>247</v>
      </c>
      <c r="C250" s="28" t="s">
        <v>227</v>
      </c>
      <c r="D250" s="30" t="n">
        <v>144020000</v>
      </c>
      <c r="E250" s="28" t="n">
        <v>2019</v>
      </c>
      <c r="F250" s="98" t="s">
        <v>228</v>
      </c>
      <c r="G250" s="28" t="s">
        <v>232</v>
      </c>
      <c r="H250" s="28" t="s">
        <v>233</v>
      </c>
    </row>
    <row r="251" customFormat="false" ht="15" hidden="true" customHeight="true" outlineLevel="0" collapsed="false">
      <c r="A251" s="98" t="s">
        <v>132</v>
      </c>
      <c r="B251" s="98" t="s">
        <v>249</v>
      </c>
      <c r="C251" s="28" t="s">
        <v>227</v>
      </c>
      <c r="D251" s="30" t="n">
        <v>298840000</v>
      </c>
      <c r="E251" s="28" t="n">
        <v>2020</v>
      </c>
      <c r="F251" s="98" t="s">
        <v>228</v>
      </c>
      <c r="G251" s="28" t="s">
        <v>232</v>
      </c>
      <c r="H251" s="28" t="s">
        <v>233</v>
      </c>
    </row>
    <row r="252" customFormat="false" ht="27.75" hidden="true" customHeight="true" outlineLevel="0" collapsed="false">
      <c r="A252" s="98" t="s">
        <v>132</v>
      </c>
      <c r="B252" s="98" t="s">
        <v>250</v>
      </c>
      <c r="C252" s="28" t="s">
        <v>227</v>
      </c>
      <c r="D252" s="30" t="n">
        <v>370340000</v>
      </c>
      <c r="E252" s="28" t="n">
        <v>2024</v>
      </c>
      <c r="F252" s="98" t="s">
        <v>228</v>
      </c>
      <c r="G252" s="28" t="s">
        <v>229</v>
      </c>
      <c r="H252" s="28" t="s">
        <v>235</v>
      </c>
    </row>
    <row r="253" customFormat="false" ht="27.75" hidden="true" customHeight="true" outlineLevel="0" collapsed="false">
      <c r="A253" s="98" t="s">
        <v>132</v>
      </c>
      <c r="B253" s="98" t="s">
        <v>237</v>
      </c>
      <c r="C253" s="28" t="s">
        <v>238</v>
      </c>
      <c r="D253" s="30" t="n">
        <v>79890000</v>
      </c>
      <c r="E253" s="28" t="n">
        <v>2026</v>
      </c>
      <c r="F253" s="98" t="s">
        <v>239</v>
      </c>
      <c r="G253" s="28" t="s">
        <v>232</v>
      </c>
      <c r="H253" s="28" t="s">
        <v>240</v>
      </c>
    </row>
    <row r="254" customFormat="false" ht="27.75" hidden="true" customHeight="true" outlineLevel="0" collapsed="false">
      <c r="A254" s="98" t="s">
        <v>132</v>
      </c>
      <c r="B254" s="98" t="s">
        <v>241</v>
      </c>
      <c r="C254" s="28" t="s">
        <v>238</v>
      </c>
      <c r="D254" s="30" t="n">
        <v>114500000</v>
      </c>
      <c r="E254" s="28" t="n">
        <v>2024</v>
      </c>
      <c r="F254" s="98" t="s">
        <v>239</v>
      </c>
      <c r="G254" s="28" t="s">
        <v>232</v>
      </c>
      <c r="H254" s="28" t="s">
        <v>240</v>
      </c>
    </row>
    <row r="255" customFormat="false" ht="27.75" hidden="true" customHeight="true" outlineLevel="0" collapsed="false">
      <c r="A255" s="98" t="s">
        <v>134</v>
      </c>
      <c r="B255" s="98" t="s">
        <v>226</v>
      </c>
      <c r="C255" s="28" t="s">
        <v>227</v>
      </c>
      <c r="D255" s="30" t="n">
        <v>11100000</v>
      </c>
      <c r="E255" s="28" t="n">
        <v>2021</v>
      </c>
      <c r="F255" s="98" t="s">
        <v>228</v>
      </c>
      <c r="G255" s="28" t="s">
        <v>229</v>
      </c>
      <c r="H255" s="28" t="s">
        <v>248</v>
      </c>
    </row>
    <row r="256" customFormat="false" ht="42" hidden="true" customHeight="true" outlineLevel="0" collapsed="false">
      <c r="A256" s="98" t="s">
        <v>134</v>
      </c>
      <c r="B256" s="98" t="s">
        <v>231</v>
      </c>
      <c r="C256" s="28" t="s">
        <v>227</v>
      </c>
      <c r="D256" s="30" t="n">
        <v>43300000</v>
      </c>
      <c r="E256" s="28" t="n">
        <v>2023</v>
      </c>
      <c r="F256" s="98" t="s">
        <v>228</v>
      </c>
      <c r="G256" s="28" t="s">
        <v>229</v>
      </c>
      <c r="H256" s="28" t="s">
        <v>235</v>
      </c>
    </row>
    <row r="257" customFormat="false" ht="55.5" hidden="true" customHeight="true" outlineLevel="0" collapsed="false">
      <c r="A257" s="98" t="s">
        <v>134</v>
      </c>
      <c r="B257" s="98" t="s">
        <v>234</v>
      </c>
      <c r="C257" s="28" t="s">
        <v>227</v>
      </c>
      <c r="D257" s="30" t="n">
        <v>48000000</v>
      </c>
      <c r="E257" s="28" t="n">
        <v>2025</v>
      </c>
      <c r="F257" s="98" t="s">
        <v>228</v>
      </c>
      <c r="G257" s="28" t="s">
        <v>232</v>
      </c>
      <c r="H257" s="28" t="s">
        <v>233</v>
      </c>
    </row>
    <row r="258" customFormat="false" ht="27.75" hidden="true" customHeight="true" outlineLevel="0" collapsed="false">
      <c r="A258" s="98" t="s">
        <v>134</v>
      </c>
      <c r="B258" s="98" t="s">
        <v>236</v>
      </c>
      <c r="C258" s="28" t="s">
        <v>227</v>
      </c>
      <c r="D258" s="30" t="n">
        <v>13230000</v>
      </c>
      <c r="E258" s="28" t="n">
        <v>2019</v>
      </c>
      <c r="F258" s="98" t="s">
        <v>228</v>
      </c>
      <c r="G258" s="28" t="s">
        <v>229</v>
      </c>
      <c r="H258" s="28" t="s">
        <v>230</v>
      </c>
    </row>
    <row r="259" customFormat="false" ht="42" hidden="true" customHeight="true" outlineLevel="0" collapsed="false">
      <c r="A259" s="98" t="s">
        <v>134</v>
      </c>
      <c r="B259" s="98" t="s">
        <v>247</v>
      </c>
      <c r="C259" s="28" t="s">
        <v>227</v>
      </c>
      <c r="D259" s="30" t="n">
        <v>59090000</v>
      </c>
      <c r="E259" s="28" t="n">
        <v>2021</v>
      </c>
      <c r="F259" s="98" t="s">
        <v>228</v>
      </c>
      <c r="G259" s="28" t="s">
        <v>232</v>
      </c>
      <c r="H259" s="28" t="s">
        <v>233</v>
      </c>
    </row>
    <row r="260" customFormat="false" ht="42" hidden="true" customHeight="true" outlineLevel="0" collapsed="false">
      <c r="A260" s="98" t="s">
        <v>134</v>
      </c>
      <c r="B260" s="98" t="s">
        <v>237</v>
      </c>
      <c r="C260" s="28" t="s">
        <v>238</v>
      </c>
      <c r="D260" s="30" t="n">
        <v>24690000</v>
      </c>
      <c r="E260" s="28" t="n">
        <v>2025</v>
      </c>
      <c r="F260" s="98" t="s">
        <v>239</v>
      </c>
      <c r="G260" s="28" t="s">
        <v>232</v>
      </c>
      <c r="H260" s="28" t="s">
        <v>240</v>
      </c>
    </row>
    <row r="261" customFormat="false" ht="27.75" hidden="true" customHeight="true" outlineLevel="0" collapsed="false">
      <c r="A261" s="98" t="s">
        <v>134</v>
      </c>
      <c r="B261" s="98" t="s">
        <v>241</v>
      </c>
      <c r="C261" s="28" t="s">
        <v>238</v>
      </c>
      <c r="D261" s="30" t="n">
        <v>26020000</v>
      </c>
      <c r="E261" s="28" t="n">
        <v>2026</v>
      </c>
      <c r="F261" s="98" t="s">
        <v>239</v>
      </c>
      <c r="G261" s="28" t="s">
        <v>232</v>
      </c>
      <c r="H261" s="28" t="s">
        <v>240</v>
      </c>
    </row>
    <row r="262" customFormat="false" ht="27.75" hidden="true" customHeight="true" outlineLevel="0" collapsed="false">
      <c r="A262" s="98" t="s">
        <v>134</v>
      </c>
      <c r="B262" s="98" t="s">
        <v>242</v>
      </c>
      <c r="C262" s="28" t="s">
        <v>238</v>
      </c>
      <c r="D262" s="30" t="n">
        <v>16570000</v>
      </c>
      <c r="E262" s="28" t="n">
        <v>2024</v>
      </c>
      <c r="F262" s="98" t="s">
        <v>239</v>
      </c>
      <c r="G262" s="28" t="s">
        <v>232</v>
      </c>
      <c r="H262" s="28" t="s">
        <v>240</v>
      </c>
    </row>
    <row r="263" customFormat="false" ht="15" hidden="true" customHeight="true" outlineLevel="0" collapsed="false">
      <c r="A263" s="98" t="s">
        <v>134</v>
      </c>
      <c r="B263" s="98" t="s">
        <v>244</v>
      </c>
      <c r="C263" s="28" t="s">
        <v>238</v>
      </c>
      <c r="D263" s="30" t="n">
        <v>44420000</v>
      </c>
      <c r="E263" s="28" t="n">
        <v>2026</v>
      </c>
      <c r="F263" s="98" t="s">
        <v>239</v>
      </c>
      <c r="G263" s="28" t="s">
        <v>229</v>
      </c>
      <c r="H263" s="28" t="s">
        <v>243</v>
      </c>
    </row>
    <row r="264" customFormat="false" ht="42" hidden="true" customHeight="true" outlineLevel="0" collapsed="false">
      <c r="A264" s="98" t="s">
        <v>134</v>
      </c>
      <c r="B264" s="98" t="s">
        <v>245</v>
      </c>
      <c r="C264" s="28" t="s">
        <v>238</v>
      </c>
      <c r="D264" s="30" t="n">
        <v>63200000</v>
      </c>
      <c r="E264" s="28" t="n">
        <v>2024</v>
      </c>
      <c r="F264" s="98" t="s">
        <v>239</v>
      </c>
      <c r="G264" s="28" t="s">
        <v>232</v>
      </c>
      <c r="H264" s="28" t="s">
        <v>240</v>
      </c>
    </row>
    <row r="265" customFormat="false" ht="27.75" hidden="true" customHeight="true" outlineLevel="0" collapsed="false">
      <c r="A265" s="98" t="s">
        <v>136</v>
      </c>
      <c r="B265" s="98" t="s">
        <v>226</v>
      </c>
      <c r="C265" s="28" t="s">
        <v>227</v>
      </c>
      <c r="D265" s="30" t="n">
        <v>159250000</v>
      </c>
      <c r="E265" s="28" t="n">
        <v>2024</v>
      </c>
      <c r="F265" s="98" t="s">
        <v>228</v>
      </c>
      <c r="G265" s="28" t="s">
        <v>232</v>
      </c>
      <c r="H265" s="28" t="s">
        <v>233</v>
      </c>
    </row>
    <row r="266" customFormat="false" ht="42" hidden="true" customHeight="true" outlineLevel="0" collapsed="false">
      <c r="A266" s="98" t="s">
        <v>136</v>
      </c>
      <c r="B266" s="98" t="s">
        <v>231</v>
      </c>
      <c r="C266" s="28" t="s">
        <v>227</v>
      </c>
      <c r="D266" s="30" t="n">
        <v>65220000</v>
      </c>
      <c r="E266" s="28" t="n">
        <v>2021</v>
      </c>
      <c r="F266" s="98" t="s">
        <v>228</v>
      </c>
      <c r="G266" s="28" t="s">
        <v>232</v>
      </c>
      <c r="H266" s="28" t="s">
        <v>233</v>
      </c>
    </row>
    <row r="267" customFormat="false" ht="27.75" hidden="true" customHeight="true" outlineLevel="0" collapsed="false">
      <c r="A267" s="98" t="s">
        <v>136</v>
      </c>
      <c r="B267" s="98" t="s">
        <v>234</v>
      </c>
      <c r="C267" s="28" t="s">
        <v>227</v>
      </c>
      <c r="D267" s="30" t="n">
        <v>131720000</v>
      </c>
      <c r="E267" s="28" t="n">
        <v>2022</v>
      </c>
      <c r="F267" s="98" t="s">
        <v>228</v>
      </c>
      <c r="G267" s="28" t="s">
        <v>232</v>
      </c>
      <c r="H267" s="28" t="s">
        <v>233</v>
      </c>
    </row>
    <row r="268" customFormat="false" ht="27.75" hidden="true" customHeight="true" outlineLevel="0" collapsed="false">
      <c r="A268" s="98" t="s">
        <v>136</v>
      </c>
      <c r="B268" s="98" t="s">
        <v>236</v>
      </c>
      <c r="C268" s="28" t="s">
        <v>227</v>
      </c>
      <c r="D268" s="30" t="n">
        <v>259580000</v>
      </c>
      <c r="E268" s="28" t="n">
        <v>2022</v>
      </c>
      <c r="F268" s="98" t="s">
        <v>228</v>
      </c>
      <c r="G268" s="28" t="s">
        <v>229</v>
      </c>
      <c r="H268" s="28" t="s">
        <v>235</v>
      </c>
    </row>
    <row r="269" customFormat="false" ht="27.75" hidden="true" customHeight="true" outlineLevel="0" collapsed="false">
      <c r="A269" s="98" t="s">
        <v>136</v>
      </c>
      <c r="B269" s="98" t="s">
        <v>247</v>
      </c>
      <c r="C269" s="28" t="s">
        <v>227</v>
      </c>
      <c r="D269" s="30" t="n">
        <v>153370000</v>
      </c>
      <c r="E269" s="28" t="n">
        <v>2020</v>
      </c>
      <c r="F269" s="98" t="s">
        <v>228</v>
      </c>
      <c r="G269" s="28" t="s">
        <v>229</v>
      </c>
      <c r="H269" s="28" t="s">
        <v>230</v>
      </c>
    </row>
    <row r="270" customFormat="false" ht="27.75" hidden="true" customHeight="true" outlineLevel="0" collapsed="false">
      <c r="A270" s="98" t="s">
        <v>136</v>
      </c>
      <c r="B270" s="98" t="s">
        <v>249</v>
      </c>
      <c r="C270" s="28" t="s">
        <v>227</v>
      </c>
      <c r="D270" s="30" t="n">
        <v>220100000</v>
      </c>
      <c r="E270" s="28" t="n">
        <v>2025</v>
      </c>
      <c r="F270" s="98" t="s">
        <v>228</v>
      </c>
      <c r="G270" s="28" t="s">
        <v>232</v>
      </c>
      <c r="H270" s="28" t="s">
        <v>233</v>
      </c>
    </row>
    <row r="271" customFormat="false" ht="27.75" hidden="true" customHeight="true" outlineLevel="0" collapsed="false">
      <c r="A271" s="98" t="s">
        <v>136</v>
      </c>
      <c r="B271" s="98" t="s">
        <v>250</v>
      </c>
      <c r="C271" s="28" t="s">
        <v>227</v>
      </c>
      <c r="D271" s="30" t="n">
        <v>85940000</v>
      </c>
      <c r="E271" s="28" t="n">
        <v>2019</v>
      </c>
      <c r="F271" s="98" t="s">
        <v>228</v>
      </c>
      <c r="G271" s="28" t="s">
        <v>232</v>
      </c>
      <c r="H271" s="28" t="s">
        <v>233</v>
      </c>
    </row>
    <row r="272" customFormat="false" ht="27.75" hidden="true" customHeight="true" outlineLevel="0" collapsed="false">
      <c r="A272" s="98" t="s">
        <v>136</v>
      </c>
      <c r="B272" s="98" t="s">
        <v>251</v>
      </c>
      <c r="C272" s="28" t="s">
        <v>227</v>
      </c>
      <c r="D272" s="30" t="n">
        <v>83660000</v>
      </c>
      <c r="E272" s="28" t="n">
        <v>2021</v>
      </c>
      <c r="F272" s="98" t="s">
        <v>228</v>
      </c>
      <c r="G272" s="28" t="s">
        <v>229</v>
      </c>
      <c r="H272" s="28" t="s">
        <v>230</v>
      </c>
    </row>
    <row r="273" customFormat="false" ht="27.75" hidden="true" customHeight="true" outlineLevel="0" collapsed="false">
      <c r="A273" s="98" t="s">
        <v>136</v>
      </c>
      <c r="B273" s="98" t="s">
        <v>252</v>
      </c>
      <c r="C273" s="28" t="s">
        <v>227</v>
      </c>
      <c r="D273" s="30" t="n">
        <v>99360000</v>
      </c>
      <c r="E273" s="28" t="n">
        <v>2020</v>
      </c>
      <c r="F273" s="98" t="s">
        <v>228</v>
      </c>
      <c r="G273" s="28" t="s">
        <v>232</v>
      </c>
      <c r="H273" s="28" t="s">
        <v>233</v>
      </c>
    </row>
    <row r="274" customFormat="false" ht="27.75" hidden="true" customHeight="true" outlineLevel="0" collapsed="false">
      <c r="A274" s="98" t="s">
        <v>136</v>
      </c>
      <c r="B274" s="98" t="s">
        <v>237</v>
      </c>
      <c r="C274" s="28" t="s">
        <v>238</v>
      </c>
      <c r="D274" s="30" t="n">
        <v>64620000</v>
      </c>
      <c r="E274" s="28" t="n">
        <v>2024</v>
      </c>
      <c r="F274" s="98" t="s">
        <v>239</v>
      </c>
      <c r="G274" s="28" t="s">
        <v>232</v>
      </c>
      <c r="H274" s="28" t="s">
        <v>240</v>
      </c>
    </row>
    <row r="275" customFormat="false" ht="27.75" hidden="true" customHeight="true" outlineLevel="0" collapsed="false">
      <c r="A275" s="98" t="s">
        <v>136</v>
      </c>
      <c r="B275" s="98" t="s">
        <v>241</v>
      </c>
      <c r="C275" s="28" t="s">
        <v>238</v>
      </c>
      <c r="D275" s="30" t="n">
        <v>58790000</v>
      </c>
      <c r="E275" s="28" t="n">
        <v>2026</v>
      </c>
      <c r="F275" s="98" t="s">
        <v>239</v>
      </c>
      <c r="G275" s="28" t="s">
        <v>229</v>
      </c>
      <c r="H275" s="28" t="s">
        <v>243</v>
      </c>
    </row>
    <row r="276" customFormat="false" ht="27.75" hidden="true" customHeight="true" outlineLevel="0" collapsed="false">
      <c r="A276" s="98" t="s">
        <v>136</v>
      </c>
      <c r="B276" s="98" t="s">
        <v>242</v>
      </c>
      <c r="C276" s="28" t="s">
        <v>238</v>
      </c>
      <c r="D276" s="30" t="n">
        <v>141990000</v>
      </c>
      <c r="E276" s="28" t="n">
        <v>2026</v>
      </c>
      <c r="F276" s="98" t="s">
        <v>239</v>
      </c>
      <c r="G276" s="28" t="s">
        <v>232</v>
      </c>
      <c r="H276" s="28" t="s">
        <v>240</v>
      </c>
    </row>
    <row r="277" customFormat="false" ht="27.75" hidden="true" customHeight="true" outlineLevel="0" collapsed="false">
      <c r="A277" s="98" t="s">
        <v>136</v>
      </c>
      <c r="B277" s="98" t="s">
        <v>244</v>
      </c>
      <c r="C277" s="28" t="s">
        <v>238</v>
      </c>
      <c r="D277" s="30" t="n">
        <v>40110000</v>
      </c>
      <c r="E277" s="28" t="n">
        <v>2026</v>
      </c>
      <c r="F277" s="98" t="s">
        <v>239</v>
      </c>
      <c r="G277" s="28" t="s">
        <v>232</v>
      </c>
      <c r="H277" s="28" t="s">
        <v>240</v>
      </c>
    </row>
    <row r="278" customFormat="false" ht="15" hidden="true" customHeight="true" outlineLevel="0" collapsed="false">
      <c r="A278" s="98" t="s">
        <v>136</v>
      </c>
      <c r="B278" s="98" t="s">
        <v>245</v>
      </c>
      <c r="C278" s="28" t="s">
        <v>238</v>
      </c>
      <c r="D278" s="30" t="n">
        <v>30260000</v>
      </c>
      <c r="E278" s="28" t="n">
        <v>2023</v>
      </c>
      <c r="F278" s="98" t="s">
        <v>239</v>
      </c>
      <c r="G278" s="28" t="s">
        <v>229</v>
      </c>
      <c r="H278" s="28" t="s">
        <v>243</v>
      </c>
    </row>
    <row r="279" customFormat="false" ht="27.75" hidden="true" customHeight="true" outlineLevel="0" collapsed="false">
      <c r="A279" s="98" t="s">
        <v>139</v>
      </c>
      <c r="B279" s="98" t="s">
        <v>226</v>
      </c>
      <c r="C279" s="28" t="s">
        <v>227</v>
      </c>
      <c r="D279" s="30" t="n">
        <v>27050000</v>
      </c>
      <c r="E279" s="28" t="n">
        <v>2022</v>
      </c>
      <c r="F279" s="98" t="s">
        <v>228</v>
      </c>
      <c r="G279" s="28" t="s">
        <v>229</v>
      </c>
      <c r="H279" s="28" t="s">
        <v>230</v>
      </c>
    </row>
    <row r="280" customFormat="false" ht="42" hidden="true" customHeight="true" outlineLevel="0" collapsed="false">
      <c r="A280" s="98" t="s">
        <v>139</v>
      </c>
      <c r="B280" s="98" t="s">
        <v>231</v>
      </c>
      <c r="C280" s="28" t="s">
        <v>227</v>
      </c>
      <c r="D280" s="30" t="n">
        <v>20420000</v>
      </c>
      <c r="E280" s="28" t="n">
        <v>2019</v>
      </c>
      <c r="F280" s="98" t="s">
        <v>228</v>
      </c>
      <c r="G280" s="28" t="s">
        <v>232</v>
      </c>
      <c r="H280" s="28" t="s">
        <v>233</v>
      </c>
    </row>
    <row r="281" customFormat="false" ht="27.75" hidden="true" customHeight="true" outlineLevel="0" collapsed="false">
      <c r="A281" s="98" t="s">
        <v>139</v>
      </c>
      <c r="B281" s="98" t="s">
        <v>234</v>
      </c>
      <c r="C281" s="28" t="s">
        <v>227</v>
      </c>
      <c r="D281" s="30" t="n">
        <v>11680000</v>
      </c>
      <c r="E281" s="28" t="n">
        <v>2025</v>
      </c>
      <c r="F281" s="98" t="s">
        <v>228</v>
      </c>
      <c r="G281" s="28" t="s">
        <v>232</v>
      </c>
      <c r="H281" s="28" t="s">
        <v>233</v>
      </c>
    </row>
    <row r="282" customFormat="false" ht="27.75" hidden="true" customHeight="true" outlineLevel="0" collapsed="false">
      <c r="A282" s="98" t="s">
        <v>139</v>
      </c>
      <c r="B282" s="98" t="s">
        <v>236</v>
      </c>
      <c r="C282" s="28" t="s">
        <v>227</v>
      </c>
      <c r="D282" s="30" t="n">
        <v>28240000</v>
      </c>
      <c r="E282" s="28" t="n">
        <v>2019</v>
      </c>
      <c r="F282" s="98" t="s">
        <v>228</v>
      </c>
      <c r="G282" s="28" t="s">
        <v>229</v>
      </c>
      <c r="H282" s="28" t="s">
        <v>230</v>
      </c>
    </row>
    <row r="283" customFormat="false" ht="27.75" hidden="true" customHeight="true" outlineLevel="0" collapsed="false">
      <c r="A283" s="98" t="s">
        <v>139</v>
      </c>
      <c r="B283" s="98" t="s">
        <v>247</v>
      </c>
      <c r="C283" s="28" t="s">
        <v>227</v>
      </c>
      <c r="D283" s="30" t="n">
        <v>18920000</v>
      </c>
      <c r="E283" s="28" t="n">
        <v>2023</v>
      </c>
      <c r="F283" s="98" t="s">
        <v>228</v>
      </c>
      <c r="G283" s="28" t="s">
        <v>232</v>
      </c>
      <c r="H283" s="28" t="s">
        <v>233</v>
      </c>
    </row>
    <row r="284" customFormat="false" ht="42" hidden="true" customHeight="true" outlineLevel="0" collapsed="false">
      <c r="A284" s="98" t="s">
        <v>139</v>
      </c>
      <c r="B284" s="98" t="s">
        <v>237</v>
      </c>
      <c r="C284" s="28" t="s">
        <v>238</v>
      </c>
      <c r="D284" s="30" t="n">
        <v>9740000</v>
      </c>
      <c r="E284" s="28" t="n">
        <v>2024</v>
      </c>
      <c r="F284" s="98" t="s">
        <v>239</v>
      </c>
      <c r="G284" s="28" t="s">
        <v>232</v>
      </c>
      <c r="H284" s="28" t="s">
        <v>240</v>
      </c>
    </row>
    <row r="285" customFormat="false" ht="27.75" hidden="true" customHeight="true" outlineLevel="0" collapsed="false">
      <c r="A285" s="98" t="s">
        <v>139</v>
      </c>
      <c r="B285" s="98" t="s">
        <v>241</v>
      </c>
      <c r="C285" s="28" t="s">
        <v>238</v>
      </c>
      <c r="D285" s="30" t="n">
        <v>10120000</v>
      </c>
      <c r="E285" s="28" t="n">
        <v>2023</v>
      </c>
      <c r="F285" s="98" t="s">
        <v>239</v>
      </c>
      <c r="G285" s="28" t="s">
        <v>229</v>
      </c>
      <c r="H285" s="28" t="s">
        <v>243</v>
      </c>
    </row>
    <row r="286" customFormat="false" ht="15" hidden="true" customHeight="true" outlineLevel="0" collapsed="false">
      <c r="A286" s="98" t="s">
        <v>141</v>
      </c>
      <c r="B286" s="98" t="s">
        <v>226</v>
      </c>
      <c r="C286" s="28" t="s">
        <v>227</v>
      </c>
      <c r="D286" s="30" t="n">
        <v>208250000</v>
      </c>
      <c r="E286" s="28" t="n">
        <v>2024</v>
      </c>
      <c r="F286" s="98" t="s">
        <v>228</v>
      </c>
      <c r="G286" s="28" t="s">
        <v>229</v>
      </c>
      <c r="H286" s="28" t="s">
        <v>230</v>
      </c>
    </row>
    <row r="287" customFormat="false" ht="27.75" hidden="true" customHeight="true" outlineLevel="0" collapsed="false">
      <c r="A287" s="98" t="s">
        <v>141</v>
      </c>
      <c r="B287" s="98" t="s">
        <v>231</v>
      </c>
      <c r="C287" s="28" t="s">
        <v>227</v>
      </c>
      <c r="D287" s="30" t="n">
        <v>606290000</v>
      </c>
      <c r="E287" s="28" t="n">
        <v>2021</v>
      </c>
      <c r="F287" s="98" t="s">
        <v>228</v>
      </c>
      <c r="G287" s="28" t="s">
        <v>232</v>
      </c>
      <c r="H287" s="28" t="s">
        <v>233</v>
      </c>
    </row>
    <row r="288" customFormat="false" ht="27.75" hidden="true" customHeight="true" outlineLevel="0" collapsed="false">
      <c r="A288" s="98" t="s">
        <v>141</v>
      </c>
      <c r="B288" s="98" t="s">
        <v>234</v>
      </c>
      <c r="C288" s="28" t="s">
        <v>227</v>
      </c>
      <c r="D288" s="30" t="n">
        <v>147280000</v>
      </c>
      <c r="E288" s="28" t="n">
        <v>2022</v>
      </c>
      <c r="F288" s="98" t="s">
        <v>228</v>
      </c>
      <c r="G288" s="28" t="s">
        <v>232</v>
      </c>
      <c r="H288" s="28" t="s">
        <v>233</v>
      </c>
    </row>
    <row r="289" customFormat="false" ht="27.75" hidden="true" customHeight="true" outlineLevel="0" collapsed="false">
      <c r="A289" s="98" t="s">
        <v>141</v>
      </c>
      <c r="B289" s="98" t="s">
        <v>236</v>
      </c>
      <c r="C289" s="28" t="s">
        <v>227</v>
      </c>
      <c r="D289" s="30" t="n">
        <v>288130000</v>
      </c>
      <c r="E289" s="28" t="n">
        <v>2023</v>
      </c>
      <c r="F289" s="98" t="s">
        <v>228</v>
      </c>
      <c r="G289" s="28" t="s">
        <v>229</v>
      </c>
      <c r="H289" s="28" t="s">
        <v>230</v>
      </c>
    </row>
    <row r="290" customFormat="false" ht="27.75" hidden="true" customHeight="true" outlineLevel="0" collapsed="false">
      <c r="A290" s="98" t="s">
        <v>141</v>
      </c>
      <c r="B290" s="98" t="s">
        <v>247</v>
      </c>
      <c r="C290" s="28" t="s">
        <v>227</v>
      </c>
      <c r="D290" s="30" t="n">
        <v>258120000</v>
      </c>
      <c r="E290" s="28" t="n">
        <v>2020</v>
      </c>
      <c r="F290" s="98" t="s">
        <v>228</v>
      </c>
      <c r="G290" s="28" t="s">
        <v>229</v>
      </c>
      <c r="H290" s="28" t="s">
        <v>235</v>
      </c>
    </row>
    <row r="291" customFormat="false" ht="27.75" hidden="true" customHeight="true" outlineLevel="0" collapsed="false">
      <c r="A291" s="98" t="s">
        <v>141</v>
      </c>
      <c r="B291" s="98" t="s">
        <v>249</v>
      </c>
      <c r="C291" s="28" t="s">
        <v>227</v>
      </c>
      <c r="D291" s="30" t="n">
        <v>416160000</v>
      </c>
      <c r="E291" s="28" t="n">
        <v>2023</v>
      </c>
      <c r="F291" s="98" t="s">
        <v>228</v>
      </c>
      <c r="G291" s="28" t="s">
        <v>232</v>
      </c>
      <c r="H291" s="28" t="s">
        <v>233</v>
      </c>
    </row>
    <row r="292" customFormat="false" ht="27.75" hidden="true" customHeight="true" outlineLevel="0" collapsed="false">
      <c r="A292" s="98" t="s">
        <v>141</v>
      </c>
      <c r="B292" s="98" t="s">
        <v>250</v>
      </c>
      <c r="C292" s="28" t="s">
        <v>227</v>
      </c>
      <c r="D292" s="30" t="n">
        <v>401760000</v>
      </c>
      <c r="E292" s="28" t="n">
        <v>2024</v>
      </c>
      <c r="F292" s="98" t="s">
        <v>228</v>
      </c>
      <c r="G292" s="28" t="s">
        <v>232</v>
      </c>
      <c r="H292" s="28" t="s">
        <v>233</v>
      </c>
    </row>
    <row r="293" customFormat="false" ht="27.75" hidden="true" customHeight="true" outlineLevel="0" collapsed="false">
      <c r="A293" s="98" t="s">
        <v>141</v>
      </c>
      <c r="B293" s="98" t="s">
        <v>237</v>
      </c>
      <c r="C293" s="28" t="s">
        <v>238</v>
      </c>
      <c r="D293" s="30" t="n">
        <v>99850000</v>
      </c>
      <c r="E293" s="28" t="n">
        <v>2026</v>
      </c>
      <c r="F293" s="98" t="s">
        <v>239</v>
      </c>
      <c r="G293" s="28" t="s">
        <v>232</v>
      </c>
      <c r="H293" s="28" t="s">
        <v>240</v>
      </c>
    </row>
    <row r="294" customFormat="false" ht="27.75" hidden="true" customHeight="true" outlineLevel="0" collapsed="false">
      <c r="A294" s="98" t="s">
        <v>141</v>
      </c>
      <c r="B294" s="98" t="s">
        <v>241</v>
      </c>
      <c r="C294" s="28" t="s">
        <v>238</v>
      </c>
      <c r="D294" s="30" t="n">
        <v>41860000</v>
      </c>
      <c r="E294" s="28" t="n">
        <v>2023</v>
      </c>
      <c r="F294" s="98" t="s">
        <v>239</v>
      </c>
      <c r="G294" s="28" t="s">
        <v>232</v>
      </c>
      <c r="H294" s="28" t="s">
        <v>240</v>
      </c>
    </row>
    <row r="295" customFormat="false" ht="27.75" hidden="true" customHeight="true" outlineLevel="0" collapsed="false">
      <c r="A295" s="98" t="s">
        <v>141</v>
      </c>
      <c r="B295" s="98" t="s">
        <v>242</v>
      </c>
      <c r="C295" s="28" t="s">
        <v>238</v>
      </c>
      <c r="D295" s="30" t="n">
        <v>76740000</v>
      </c>
      <c r="E295" s="28" t="n">
        <v>2025</v>
      </c>
      <c r="F295" s="98" t="s">
        <v>239</v>
      </c>
      <c r="G295" s="28" t="s">
        <v>232</v>
      </c>
      <c r="H295" s="28" t="s">
        <v>240</v>
      </c>
    </row>
    <row r="296" customFormat="false" ht="27.75" hidden="true" customHeight="true" outlineLevel="0" collapsed="false">
      <c r="A296" s="98" t="s">
        <v>141</v>
      </c>
      <c r="B296" s="98" t="s">
        <v>244</v>
      </c>
      <c r="C296" s="28" t="s">
        <v>238</v>
      </c>
      <c r="D296" s="30" t="n">
        <v>36760000</v>
      </c>
      <c r="E296" s="28" t="n">
        <v>2024</v>
      </c>
      <c r="F296" s="98" t="s">
        <v>239</v>
      </c>
      <c r="G296" s="28" t="s">
        <v>232</v>
      </c>
      <c r="H296" s="28" t="s">
        <v>240</v>
      </c>
    </row>
    <row r="297" customFormat="false" ht="42" hidden="true" customHeight="true" outlineLevel="0" collapsed="false">
      <c r="A297" s="98" t="s">
        <v>141</v>
      </c>
      <c r="B297" s="98" t="s">
        <v>245</v>
      </c>
      <c r="C297" s="28" t="s">
        <v>238</v>
      </c>
      <c r="D297" s="30" t="n">
        <v>268600000</v>
      </c>
      <c r="E297" s="28" t="n">
        <v>2025</v>
      </c>
      <c r="F297" s="98" t="s">
        <v>239</v>
      </c>
      <c r="G297" s="28" t="s">
        <v>232</v>
      </c>
      <c r="H297" s="28" t="s">
        <v>240</v>
      </c>
    </row>
    <row r="298" customFormat="false" ht="27.75" hidden="true" customHeight="true" outlineLevel="0" collapsed="false">
      <c r="A298" s="98" t="s">
        <v>145</v>
      </c>
      <c r="B298" s="98" t="s">
        <v>226</v>
      </c>
      <c r="C298" s="28" t="s">
        <v>227</v>
      </c>
      <c r="D298" s="30" t="n">
        <v>89340000</v>
      </c>
      <c r="E298" s="28" t="n">
        <v>2025</v>
      </c>
      <c r="F298" s="98" t="s">
        <v>228</v>
      </c>
      <c r="G298" s="28" t="s">
        <v>229</v>
      </c>
      <c r="H298" s="28" t="s">
        <v>235</v>
      </c>
    </row>
    <row r="299" customFormat="false" ht="27.75" hidden="true" customHeight="true" outlineLevel="0" collapsed="false">
      <c r="A299" s="98" t="s">
        <v>145</v>
      </c>
      <c r="B299" s="98" t="s">
        <v>231</v>
      </c>
      <c r="C299" s="28" t="s">
        <v>227</v>
      </c>
      <c r="D299" s="30" t="n">
        <v>84000000</v>
      </c>
      <c r="E299" s="28" t="n">
        <v>2024</v>
      </c>
      <c r="F299" s="98" t="s">
        <v>228</v>
      </c>
      <c r="G299" s="28" t="s">
        <v>232</v>
      </c>
      <c r="H299" s="28" t="s">
        <v>233</v>
      </c>
    </row>
    <row r="300" customFormat="false" ht="23.25" hidden="true" customHeight="true" outlineLevel="0" collapsed="false">
      <c r="A300" s="98" t="s">
        <v>145</v>
      </c>
      <c r="B300" s="98" t="s">
        <v>234</v>
      </c>
      <c r="C300" s="28" t="s">
        <v>227</v>
      </c>
      <c r="D300" s="30" t="n">
        <v>84580000</v>
      </c>
      <c r="E300" s="28" t="n">
        <v>2020</v>
      </c>
      <c r="F300" s="98" t="s">
        <v>228</v>
      </c>
      <c r="G300" s="28" t="s">
        <v>229</v>
      </c>
      <c r="H300" s="28" t="s">
        <v>230</v>
      </c>
    </row>
    <row r="301" customFormat="false" ht="27.75" hidden="true" customHeight="true" outlineLevel="0" collapsed="false">
      <c r="A301" s="98" t="s">
        <v>145</v>
      </c>
      <c r="B301" s="98" t="s">
        <v>236</v>
      </c>
      <c r="C301" s="28" t="s">
        <v>227</v>
      </c>
      <c r="D301" s="30" t="n">
        <v>100840000</v>
      </c>
      <c r="E301" s="28" t="n">
        <v>2022</v>
      </c>
      <c r="F301" s="98" t="s">
        <v>228</v>
      </c>
      <c r="G301" s="28" t="s">
        <v>229</v>
      </c>
      <c r="H301" s="28" t="s">
        <v>246</v>
      </c>
    </row>
    <row r="302" customFormat="false" ht="27.75" hidden="true" customHeight="true" outlineLevel="0" collapsed="false">
      <c r="A302" s="98" t="s">
        <v>145</v>
      </c>
      <c r="B302" s="98" t="s">
        <v>247</v>
      </c>
      <c r="C302" s="28" t="s">
        <v>227</v>
      </c>
      <c r="D302" s="30" t="n">
        <v>62410000</v>
      </c>
      <c r="E302" s="28" t="n">
        <v>2022</v>
      </c>
      <c r="F302" s="98" t="s">
        <v>228</v>
      </c>
      <c r="G302" s="28" t="s">
        <v>229</v>
      </c>
      <c r="H302" s="28" t="s">
        <v>230</v>
      </c>
    </row>
    <row r="303" customFormat="false" ht="27.75" hidden="true" customHeight="true" outlineLevel="0" collapsed="false">
      <c r="A303" s="98" t="s">
        <v>145</v>
      </c>
      <c r="B303" s="98" t="s">
        <v>249</v>
      </c>
      <c r="C303" s="28" t="s">
        <v>227</v>
      </c>
      <c r="D303" s="30" t="n">
        <v>49700000</v>
      </c>
      <c r="E303" s="28" t="n">
        <v>2024</v>
      </c>
      <c r="F303" s="98" t="s">
        <v>228</v>
      </c>
      <c r="G303" s="28" t="s">
        <v>232</v>
      </c>
      <c r="H303" s="28" t="s">
        <v>233</v>
      </c>
    </row>
    <row r="304" customFormat="false" ht="27.75" hidden="true" customHeight="true" outlineLevel="0" collapsed="false">
      <c r="A304" s="98" t="s">
        <v>145</v>
      </c>
      <c r="B304" s="98" t="s">
        <v>250</v>
      </c>
      <c r="C304" s="28" t="s">
        <v>227</v>
      </c>
      <c r="D304" s="30" t="n">
        <v>55810000</v>
      </c>
      <c r="E304" s="28" t="n">
        <v>2025</v>
      </c>
      <c r="F304" s="98" t="s">
        <v>228</v>
      </c>
      <c r="G304" s="28" t="s">
        <v>232</v>
      </c>
      <c r="H304" s="28" t="s">
        <v>233</v>
      </c>
    </row>
    <row r="305" customFormat="false" ht="42" hidden="true" customHeight="true" outlineLevel="0" collapsed="false">
      <c r="A305" s="98" t="s">
        <v>145</v>
      </c>
      <c r="B305" s="98" t="s">
        <v>237</v>
      </c>
      <c r="C305" s="28" t="s">
        <v>238</v>
      </c>
      <c r="D305" s="30" t="n">
        <v>46390000</v>
      </c>
      <c r="E305" s="28" t="n">
        <v>2024</v>
      </c>
      <c r="F305" s="98" t="s">
        <v>239</v>
      </c>
      <c r="G305" s="28" t="s">
        <v>232</v>
      </c>
      <c r="H305" s="28" t="s">
        <v>240</v>
      </c>
    </row>
    <row r="306" customFormat="false" ht="27.75" hidden="true" customHeight="true" outlineLevel="0" collapsed="false">
      <c r="A306" s="98" t="s">
        <v>145</v>
      </c>
      <c r="B306" s="98" t="s">
        <v>241</v>
      </c>
      <c r="C306" s="28" t="s">
        <v>238</v>
      </c>
      <c r="D306" s="30" t="n">
        <v>28970000</v>
      </c>
      <c r="E306" s="28" t="n">
        <v>2025</v>
      </c>
      <c r="F306" s="98" t="s">
        <v>239</v>
      </c>
      <c r="G306" s="28" t="s">
        <v>232</v>
      </c>
      <c r="H306" s="28" t="s">
        <v>240</v>
      </c>
    </row>
    <row r="307" customFormat="false" ht="27.75" hidden="true" customHeight="true" outlineLevel="0" collapsed="false">
      <c r="A307" s="98" t="s">
        <v>145</v>
      </c>
      <c r="B307" s="98" t="s">
        <v>242</v>
      </c>
      <c r="C307" s="28" t="s">
        <v>238</v>
      </c>
      <c r="D307" s="30" t="n">
        <v>22430000</v>
      </c>
      <c r="E307" s="28" t="n">
        <v>2025</v>
      </c>
      <c r="F307" s="98" t="s">
        <v>239</v>
      </c>
      <c r="G307" s="28" t="s">
        <v>232</v>
      </c>
      <c r="H307" s="28" t="s">
        <v>240</v>
      </c>
    </row>
    <row r="308" customFormat="false" ht="27.75" hidden="true" customHeight="true" outlineLevel="0" collapsed="false">
      <c r="A308" s="98" t="s">
        <v>145</v>
      </c>
      <c r="B308" s="98" t="s">
        <v>244</v>
      </c>
      <c r="C308" s="28" t="s">
        <v>238</v>
      </c>
      <c r="D308" s="30" t="n">
        <v>67090000</v>
      </c>
      <c r="E308" s="28" t="n">
        <v>2024</v>
      </c>
      <c r="F308" s="98" t="s">
        <v>239</v>
      </c>
      <c r="G308" s="28" t="s">
        <v>229</v>
      </c>
      <c r="H308" s="28" t="s">
        <v>243</v>
      </c>
    </row>
    <row r="309" customFormat="false" ht="27.75" hidden="true" customHeight="true" outlineLevel="0" collapsed="false">
      <c r="A309" s="98" t="s">
        <v>147</v>
      </c>
      <c r="B309" s="98" t="s">
        <v>253</v>
      </c>
      <c r="C309" s="28" t="s">
        <v>227</v>
      </c>
      <c r="D309" s="30" t="n">
        <v>900000000</v>
      </c>
      <c r="E309" s="28" t="n">
        <v>2025</v>
      </c>
      <c r="F309" s="98" t="s">
        <v>254</v>
      </c>
      <c r="G309" s="28" t="s">
        <v>232</v>
      </c>
      <c r="H309" s="28" t="s">
        <v>255</v>
      </c>
    </row>
    <row r="310" customFormat="false" ht="27.75" hidden="true" customHeight="true" outlineLevel="0" collapsed="false">
      <c r="A310" s="98" t="s">
        <v>151</v>
      </c>
      <c r="B310" s="98" t="s">
        <v>226</v>
      </c>
      <c r="C310" s="28" t="s">
        <v>227</v>
      </c>
      <c r="D310" s="30" t="n">
        <v>159240000</v>
      </c>
      <c r="E310" s="28" t="n">
        <v>2019</v>
      </c>
      <c r="F310" s="98" t="s">
        <v>228</v>
      </c>
      <c r="G310" s="28" t="s">
        <v>229</v>
      </c>
      <c r="H310" s="28" t="s">
        <v>248</v>
      </c>
    </row>
    <row r="311" customFormat="false" ht="27.75" hidden="true" customHeight="true" outlineLevel="0" collapsed="false">
      <c r="A311" s="98" t="s">
        <v>151</v>
      </c>
      <c r="B311" s="98" t="s">
        <v>231</v>
      </c>
      <c r="C311" s="28" t="s">
        <v>227</v>
      </c>
      <c r="D311" s="30" t="n">
        <v>58070000</v>
      </c>
      <c r="E311" s="28" t="n">
        <v>2024</v>
      </c>
      <c r="F311" s="98" t="s">
        <v>228</v>
      </c>
      <c r="G311" s="28" t="s">
        <v>232</v>
      </c>
      <c r="H311" s="28" t="s">
        <v>233</v>
      </c>
    </row>
    <row r="312" customFormat="false" ht="27.75" hidden="true" customHeight="true" outlineLevel="0" collapsed="false">
      <c r="A312" s="98" t="s">
        <v>151</v>
      </c>
      <c r="B312" s="98" t="s">
        <v>234</v>
      </c>
      <c r="C312" s="28" t="s">
        <v>227</v>
      </c>
      <c r="D312" s="30" t="n">
        <v>182430000</v>
      </c>
      <c r="E312" s="28" t="n">
        <v>2024</v>
      </c>
      <c r="F312" s="98" t="s">
        <v>228</v>
      </c>
      <c r="G312" s="28" t="s">
        <v>232</v>
      </c>
      <c r="H312" s="28" t="s">
        <v>233</v>
      </c>
    </row>
    <row r="313" customFormat="false" ht="27.75" hidden="true" customHeight="true" outlineLevel="0" collapsed="false">
      <c r="A313" s="98" t="s">
        <v>151</v>
      </c>
      <c r="B313" s="98" t="s">
        <v>236</v>
      </c>
      <c r="C313" s="28" t="s">
        <v>227</v>
      </c>
      <c r="D313" s="30" t="n">
        <v>61130000</v>
      </c>
      <c r="E313" s="28" t="n">
        <v>2024</v>
      </c>
      <c r="F313" s="98" t="s">
        <v>228</v>
      </c>
      <c r="G313" s="28" t="s">
        <v>232</v>
      </c>
      <c r="H313" s="28" t="s">
        <v>233</v>
      </c>
    </row>
    <row r="314" customFormat="false" ht="27.75" hidden="true" customHeight="true" outlineLevel="0" collapsed="false">
      <c r="A314" s="98" t="s">
        <v>151</v>
      </c>
      <c r="B314" s="98" t="s">
        <v>247</v>
      </c>
      <c r="C314" s="28" t="s">
        <v>227</v>
      </c>
      <c r="D314" s="30" t="n">
        <v>77660000</v>
      </c>
      <c r="E314" s="28" t="n">
        <v>2023</v>
      </c>
      <c r="F314" s="98" t="s">
        <v>228</v>
      </c>
      <c r="G314" s="28" t="s">
        <v>229</v>
      </c>
      <c r="H314" s="28" t="s">
        <v>246</v>
      </c>
    </row>
    <row r="315" customFormat="false" ht="27.75" hidden="true" customHeight="true" outlineLevel="0" collapsed="false">
      <c r="A315" s="98" t="s">
        <v>151</v>
      </c>
      <c r="B315" s="98" t="s">
        <v>249</v>
      </c>
      <c r="C315" s="28" t="s">
        <v>227</v>
      </c>
      <c r="D315" s="30" t="n">
        <v>136320000</v>
      </c>
      <c r="E315" s="28" t="n">
        <v>2022</v>
      </c>
      <c r="F315" s="98" t="s">
        <v>228</v>
      </c>
      <c r="G315" s="28" t="s">
        <v>232</v>
      </c>
      <c r="H315" s="28" t="s">
        <v>233</v>
      </c>
    </row>
    <row r="316" customFormat="false" ht="27.75" hidden="true" customHeight="true" outlineLevel="0" collapsed="false">
      <c r="A316" s="98" t="s">
        <v>151</v>
      </c>
      <c r="B316" s="98" t="s">
        <v>250</v>
      </c>
      <c r="C316" s="28" t="s">
        <v>227</v>
      </c>
      <c r="D316" s="30" t="n">
        <v>64140000</v>
      </c>
      <c r="E316" s="28" t="n">
        <v>2021</v>
      </c>
      <c r="F316" s="98" t="s">
        <v>228</v>
      </c>
      <c r="G316" s="28" t="s">
        <v>229</v>
      </c>
      <c r="H316" s="28" t="s">
        <v>235</v>
      </c>
    </row>
    <row r="317" customFormat="false" ht="27.75" hidden="true" customHeight="true" outlineLevel="0" collapsed="false">
      <c r="A317" s="98" t="s">
        <v>151</v>
      </c>
      <c r="B317" s="98" t="s">
        <v>251</v>
      </c>
      <c r="C317" s="28" t="s">
        <v>227</v>
      </c>
      <c r="D317" s="30" t="n">
        <v>79910000</v>
      </c>
      <c r="E317" s="28" t="n">
        <v>2019</v>
      </c>
      <c r="F317" s="98" t="s">
        <v>228</v>
      </c>
      <c r="G317" s="28" t="s">
        <v>232</v>
      </c>
      <c r="H317" s="28" t="s">
        <v>233</v>
      </c>
    </row>
    <row r="318" customFormat="false" ht="27.75" hidden="false" customHeight="true" outlineLevel="0" collapsed="false">
      <c r="A318" s="98" t="s">
        <v>151</v>
      </c>
      <c r="B318" s="98" t="s">
        <v>252</v>
      </c>
      <c r="C318" s="28" t="s">
        <v>227</v>
      </c>
      <c r="D318" s="30" t="n">
        <v>166390000</v>
      </c>
      <c r="E318" s="28" t="n">
        <v>2024</v>
      </c>
      <c r="F318" s="98" t="s">
        <v>228</v>
      </c>
      <c r="G318" s="28" t="s">
        <v>232</v>
      </c>
      <c r="H318" s="28" t="s">
        <v>233</v>
      </c>
    </row>
    <row r="319" customFormat="false" ht="27.75" hidden="false" customHeight="true" outlineLevel="0" collapsed="false">
      <c r="A319" s="98" t="s">
        <v>151</v>
      </c>
      <c r="B319" s="98" t="s">
        <v>237</v>
      </c>
      <c r="C319" s="28" t="s">
        <v>238</v>
      </c>
      <c r="D319" s="30" t="n">
        <v>27200000</v>
      </c>
      <c r="E319" s="28" t="n">
        <v>2024</v>
      </c>
      <c r="F319" s="98" t="s">
        <v>239</v>
      </c>
      <c r="G319" s="28" t="s">
        <v>232</v>
      </c>
      <c r="H319" s="28" t="s">
        <v>240</v>
      </c>
    </row>
    <row r="320" customFormat="false" ht="27.75" hidden="false" customHeight="true" outlineLevel="0" collapsed="false">
      <c r="A320" s="98" t="s">
        <v>151</v>
      </c>
      <c r="B320" s="98" t="s">
        <v>241</v>
      </c>
      <c r="C320" s="28" t="s">
        <v>238</v>
      </c>
      <c r="D320" s="30" t="n">
        <v>31220000</v>
      </c>
      <c r="E320" s="28" t="n">
        <v>2025</v>
      </c>
      <c r="F320" s="98" t="s">
        <v>239</v>
      </c>
      <c r="G320" s="28" t="s">
        <v>229</v>
      </c>
      <c r="H320" s="28" t="s">
        <v>243</v>
      </c>
    </row>
    <row r="321" customFormat="false" ht="27.75" hidden="false" customHeight="true" outlineLevel="0" collapsed="false">
      <c r="A321" s="98" t="s">
        <v>151</v>
      </c>
      <c r="B321" s="98" t="s">
        <v>242</v>
      </c>
      <c r="C321" s="28" t="s">
        <v>238</v>
      </c>
      <c r="D321" s="30" t="n">
        <v>29360000</v>
      </c>
      <c r="E321" s="28" t="n">
        <v>2023</v>
      </c>
      <c r="F321" s="98" t="s">
        <v>239</v>
      </c>
      <c r="G321" s="28" t="s">
        <v>232</v>
      </c>
      <c r="H321" s="28" t="s">
        <v>240</v>
      </c>
    </row>
    <row r="322" customFormat="false" ht="27.75" hidden="false" customHeight="true" outlineLevel="0" collapsed="false">
      <c r="A322" s="98" t="s">
        <v>151</v>
      </c>
      <c r="B322" s="98" t="s">
        <v>244</v>
      </c>
      <c r="C322" s="28" t="s">
        <v>238</v>
      </c>
      <c r="D322" s="30" t="n">
        <v>17530000</v>
      </c>
      <c r="E322" s="28" t="n">
        <v>2023</v>
      </c>
      <c r="F322" s="98" t="s">
        <v>239</v>
      </c>
      <c r="G322" s="28" t="s">
        <v>229</v>
      </c>
      <c r="H322" s="28" t="s">
        <v>243</v>
      </c>
    </row>
    <row r="323" customFormat="false" ht="27.75" hidden="false" customHeight="true" outlineLevel="0" collapsed="false">
      <c r="A323" s="98" t="s">
        <v>151</v>
      </c>
      <c r="B323" s="98" t="s">
        <v>245</v>
      </c>
      <c r="C323" s="28" t="s">
        <v>238</v>
      </c>
      <c r="D323" s="30" t="n">
        <v>23220000</v>
      </c>
      <c r="E323" s="28" t="n">
        <v>2024</v>
      </c>
      <c r="F323" s="98" t="s">
        <v>239</v>
      </c>
      <c r="G323" s="28" t="s">
        <v>229</v>
      </c>
      <c r="H323" s="28" t="s">
        <v>243</v>
      </c>
    </row>
    <row r="324" customFormat="false" ht="27.75" hidden="false" customHeight="true" outlineLevel="0" collapsed="false">
      <c r="A324" s="98" t="s">
        <v>154</v>
      </c>
      <c r="B324" s="98" t="s">
        <v>226</v>
      </c>
      <c r="C324" s="28" t="s">
        <v>227</v>
      </c>
      <c r="D324" s="30" t="n">
        <v>91090000</v>
      </c>
      <c r="E324" s="28" t="n">
        <v>2024</v>
      </c>
      <c r="F324" s="98" t="s">
        <v>228</v>
      </c>
      <c r="G324" s="28" t="s">
        <v>229</v>
      </c>
      <c r="H324" s="28" t="s">
        <v>246</v>
      </c>
    </row>
    <row r="325" customFormat="false" ht="42" hidden="false" customHeight="true" outlineLevel="0" collapsed="false">
      <c r="A325" s="98" t="s">
        <v>154</v>
      </c>
      <c r="B325" s="98" t="s">
        <v>231</v>
      </c>
      <c r="C325" s="28" t="s">
        <v>227</v>
      </c>
      <c r="D325" s="30" t="n">
        <v>151360000</v>
      </c>
      <c r="E325" s="28" t="n">
        <v>2025</v>
      </c>
      <c r="F325" s="98" t="s">
        <v>228</v>
      </c>
      <c r="G325" s="28" t="s">
        <v>229</v>
      </c>
      <c r="H325" s="28" t="s">
        <v>230</v>
      </c>
    </row>
    <row r="326" customFormat="false" ht="27.75" hidden="false" customHeight="true" outlineLevel="0" collapsed="false">
      <c r="A326" s="98" t="s">
        <v>154</v>
      </c>
      <c r="B326" s="98" t="s">
        <v>234</v>
      </c>
      <c r="C326" s="28" t="s">
        <v>227</v>
      </c>
      <c r="D326" s="30" t="n">
        <v>86220000</v>
      </c>
      <c r="E326" s="28" t="n">
        <v>2021</v>
      </c>
      <c r="F326" s="98" t="s">
        <v>228</v>
      </c>
      <c r="G326" s="28" t="s">
        <v>232</v>
      </c>
      <c r="H326" s="28" t="s">
        <v>233</v>
      </c>
    </row>
    <row r="327" customFormat="false" ht="27.75" hidden="false" customHeight="true" outlineLevel="0" collapsed="false">
      <c r="A327" s="98" t="s">
        <v>154</v>
      </c>
      <c r="B327" s="98" t="s">
        <v>236</v>
      </c>
      <c r="C327" s="28" t="s">
        <v>227</v>
      </c>
      <c r="D327" s="30" t="n">
        <v>97240000</v>
      </c>
      <c r="E327" s="28" t="n">
        <v>2023</v>
      </c>
      <c r="F327" s="98" t="s">
        <v>228</v>
      </c>
      <c r="G327" s="28" t="s">
        <v>229</v>
      </c>
      <c r="H327" s="28" t="s">
        <v>248</v>
      </c>
    </row>
    <row r="328" customFormat="false" ht="27.75" hidden="false" customHeight="true" outlineLevel="0" collapsed="false">
      <c r="A328" s="98" t="s">
        <v>154</v>
      </c>
      <c r="B328" s="98" t="s">
        <v>247</v>
      </c>
      <c r="C328" s="28" t="s">
        <v>227</v>
      </c>
      <c r="D328" s="30" t="n">
        <v>72160000</v>
      </c>
      <c r="E328" s="28" t="n">
        <v>2020</v>
      </c>
      <c r="F328" s="98" t="s">
        <v>228</v>
      </c>
      <c r="G328" s="28" t="s">
        <v>229</v>
      </c>
      <c r="H328" s="28" t="s">
        <v>235</v>
      </c>
    </row>
    <row r="329" customFormat="false" ht="27.75" hidden="false" customHeight="true" outlineLevel="0" collapsed="false">
      <c r="A329" s="98" t="s">
        <v>154</v>
      </c>
      <c r="B329" s="98" t="s">
        <v>249</v>
      </c>
      <c r="C329" s="28" t="s">
        <v>227</v>
      </c>
      <c r="D329" s="30" t="n">
        <v>38870000</v>
      </c>
      <c r="E329" s="28" t="n">
        <v>2022</v>
      </c>
      <c r="F329" s="98" t="s">
        <v>228</v>
      </c>
      <c r="G329" s="28" t="s">
        <v>232</v>
      </c>
      <c r="H329" s="28" t="s">
        <v>233</v>
      </c>
    </row>
    <row r="330" customFormat="false" ht="27.75" hidden="false" customHeight="true" outlineLevel="0" collapsed="false">
      <c r="A330" s="98" t="s">
        <v>154</v>
      </c>
      <c r="B330" s="98" t="s">
        <v>250</v>
      </c>
      <c r="C330" s="28" t="s">
        <v>227</v>
      </c>
      <c r="D330" s="30" t="n">
        <v>60090000</v>
      </c>
      <c r="E330" s="28" t="n">
        <v>2024</v>
      </c>
      <c r="F330" s="98" t="s">
        <v>228</v>
      </c>
      <c r="G330" s="28" t="s">
        <v>229</v>
      </c>
      <c r="H330" s="28" t="s">
        <v>230</v>
      </c>
    </row>
    <row r="331" customFormat="false" ht="27.75" hidden="false" customHeight="true" outlineLevel="0" collapsed="false">
      <c r="A331" s="98" t="s">
        <v>154</v>
      </c>
      <c r="B331" s="98" t="s">
        <v>251</v>
      </c>
      <c r="C331" s="28" t="s">
        <v>227</v>
      </c>
      <c r="D331" s="30" t="n">
        <v>124610000</v>
      </c>
      <c r="E331" s="28" t="n">
        <v>2025</v>
      </c>
      <c r="F331" s="98" t="s">
        <v>228</v>
      </c>
      <c r="G331" s="28" t="s">
        <v>229</v>
      </c>
      <c r="H331" s="28" t="s">
        <v>230</v>
      </c>
    </row>
    <row r="332" customFormat="false" ht="27.75" hidden="false" customHeight="true" outlineLevel="0" collapsed="false">
      <c r="A332" s="98" t="s">
        <v>154</v>
      </c>
      <c r="B332" s="98" t="s">
        <v>237</v>
      </c>
      <c r="C332" s="28" t="s">
        <v>238</v>
      </c>
      <c r="D332" s="30" t="n">
        <v>17160000</v>
      </c>
      <c r="E332" s="28" t="n">
        <v>2025</v>
      </c>
      <c r="F332" s="98" t="s">
        <v>239</v>
      </c>
      <c r="G332" s="28" t="s">
        <v>229</v>
      </c>
      <c r="H332" s="28" t="s">
        <v>243</v>
      </c>
    </row>
    <row r="333" customFormat="false" ht="42" hidden="false" customHeight="true" outlineLevel="0" collapsed="false">
      <c r="A333" s="98" t="s">
        <v>154</v>
      </c>
      <c r="B333" s="98" t="s">
        <v>241</v>
      </c>
      <c r="C333" s="28" t="s">
        <v>238</v>
      </c>
      <c r="D333" s="30" t="n">
        <v>46620000</v>
      </c>
      <c r="E333" s="28" t="n">
        <v>2023</v>
      </c>
      <c r="F333" s="98" t="s">
        <v>239</v>
      </c>
      <c r="G333" s="28" t="s">
        <v>229</v>
      </c>
      <c r="H333" s="28" t="s">
        <v>243</v>
      </c>
    </row>
    <row r="334" customFormat="false" ht="27.75" hidden="false" customHeight="true" outlineLevel="0" collapsed="false">
      <c r="A334" s="98" t="s">
        <v>154</v>
      </c>
      <c r="B334" s="98" t="s">
        <v>242</v>
      </c>
      <c r="C334" s="28" t="s">
        <v>238</v>
      </c>
      <c r="D334" s="30" t="n">
        <v>28950000</v>
      </c>
      <c r="E334" s="28" t="n">
        <v>2025</v>
      </c>
      <c r="F334" s="98" t="s">
        <v>239</v>
      </c>
      <c r="G334" s="28" t="s">
        <v>232</v>
      </c>
      <c r="H334" s="28" t="s">
        <v>240</v>
      </c>
    </row>
    <row r="335" customFormat="false" ht="27.75" hidden="false" customHeight="true" outlineLevel="0" collapsed="false">
      <c r="A335" s="98" t="s">
        <v>154</v>
      </c>
      <c r="B335" s="98" t="s">
        <v>244</v>
      </c>
      <c r="C335" s="28" t="s">
        <v>238</v>
      </c>
      <c r="D335" s="30" t="n">
        <v>24030000</v>
      </c>
      <c r="E335" s="28" t="n">
        <v>2024</v>
      </c>
      <c r="F335" s="98" t="s">
        <v>239</v>
      </c>
      <c r="G335" s="28" t="s">
        <v>229</v>
      </c>
      <c r="H335" s="28" t="s">
        <v>243</v>
      </c>
    </row>
    <row r="336" customFormat="false" ht="27.75" hidden="false" customHeight="true" outlineLevel="0" collapsed="false">
      <c r="A336" s="98" t="s">
        <v>156</v>
      </c>
      <c r="B336" s="98" t="s">
        <v>226</v>
      </c>
      <c r="C336" s="28" t="s">
        <v>227</v>
      </c>
      <c r="D336" s="30" t="n">
        <v>41540000</v>
      </c>
      <c r="E336" s="28" t="n">
        <v>2021</v>
      </c>
      <c r="F336" s="98" t="s">
        <v>228</v>
      </c>
      <c r="G336" s="28" t="s">
        <v>232</v>
      </c>
      <c r="H336" s="28" t="s">
        <v>233</v>
      </c>
    </row>
    <row r="337" customFormat="false" ht="42" hidden="false" customHeight="true" outlineLevel="0" collapsed="false">
      <c r="A337" s="98" t="s">
        <v>156</v>
      </c>
      <c r="B337" s="98" t="s">
        <v>231</v>
      </c>
      <c r="C337" s="28" t="s">
        <v>227</v>
      </c>
      <c r="D337" s="30" t="n">
        <v>27820000</v>
      </c>
      <c r="E337" s="28" t="n">
        <v>2025</v>
      </c>
      <c r="F337" s="98" t="s">
        <v>228</v>
      </c>
      <c r="G337" s="28" t="s">
        <v>229</v>
      </c>
      <c r="H337" s="28" t="s">
        <v>230</v>
      </c>
    </row>
    <row r="338" customFormat="false" ht="27.75" hidden="false" customHeight="true" outlineLevel="0" collapsed="false">
      <c r="A338" s="98" t="s">
        <v>156</v>
      </c>
      <c r="B338" s="98" t="s">
        <v>234</v>
      </c>
      <c r="C338" s="28" t="s">
        <v>227</v>
      </c>
      <c r="D338" s="30" t="n">
        <v>120340000</v>
      </c>
      <c r="E338" s="28" t="n">
        <v>2024</v>
      </c>
      <c r="F338" s="98" t="s">
        <v>228</v>
      </c>
      <c r="G338" s="28" t="s">
        <v>232</v>
      </c>
      <c r="H338" s="28" t="s">
        <v>233</v>
      </c>
    </row>
    <row r="339" customFormat="false" ht="27.75" hidden="false" customHeight="true" outlineLevel="0" collapsed="false">
      <c r="A339" s="98" t="s">
        <v>156</v>
      </c>
      <c r="B339" s="98" t="s">
        <v>236</v>
      </c>
      <c r="C339" s="28" t="s">
        <v>227</v>
      </c>
      <c r="D339" s="30" t="n">
        <v>102150000</v>
      </c>
      <c r="E339" s="28" t="n">
        <v>2020</v>
      </c>
      <c r="F339" s="98" t="s">
        <v>228</v>
      </c>
      <c r="G339" s="28" t="s">
        <v>232</v>
      </c>
      <c r="H339" s="28" t="s">
        <v>233</v>
      </c>
    </row>
    <row r="340" customFormat="false" ht="27.75" hidden="false" customHeight="true" outlineLevel="0" collapsed="false">
      <c r="A340" s="98" t="s">
        <v>156</v>
      </c>
      <c r="B340" s="98" t="s">
        <v>247</v>
      </c>
      <c r="C340" s="28" t="s">
        <v>227</v>
      </c>
      <c r="D340" s="30" t="n">
        <v>121930000</v>
      </c>
      <c r="E340" s="28" t="n">
        <v>2023</v>
      </c>
      <c r="F340" s="98" t="s">
        <v>228</v>
      </c>
      <c r="G340" s="28" t="s">
        <v>232</v>
      </c>
      <c r="H340" s="28" t="s">
        <v>233</v>
      </c>
    </row>
    <row r="341" customFormat="false" ht="27.75" hidden="false" customHeight="true" outlineLevel="0" collapsed="false">
      <c r="A341" s="98" t="s">
        <v>156</v>
      </c>
      <c r="B341" s="98" t="s">
        <v>249</v>
      </c>
      <c r="C341" s="28" t="s">
        <v>227</v>
      </c>
      <c r="D341" s="30" t="n">
        <v>48180000</v>
      </c>
      <c r="E341" s="28" t="n">
        <v>2020</v>
      </c>
      <c r="F341" s="98" t="s">
        <v>228</v>
      </c>
      <c r="G341" s="28" t="s">
        <v>232</v>
      </c>
      <c r="H341" s="28" t="s">
        <v>233</v>
      </c>
    </row>
    <row r="342" customFormat="false" ht="27.75" hidden="false" customHeight="true" outlineLevel="0" collapsed="false">
      <c r="A342" s="98" t="s">
        <v>156</v>
      </c>
      <c r="B342" s="98" t="s">
        <v>250</v>
      </c>
      <c r="C342" s="28" t="s">
        <v>227</v>
      </c>
      <c r="D342" s="30" t="n">
        <v>100060000</v>
      </c>
      <c r="E342" s="28" t="n">
        <v>2021</v>
      </c>
      <c r="F342" s="98" t="s">
        <v>228</v>
      </c>
      <c r="G342" s="28" t="s">
        <v>229</v>
      </c>
      <c r="H342" s="28" t="s">
        <v>248</v>
      </c>
    </row>
    <row r="343" customFormat="false" ht="27.75" hidden="false" customHeight="true" outlineLevel="0" collapsed="false">
      <c r="A343" s="98" t="s">
        <v>156</v>
      </c>
      <c r="B343" s="98" t="s">
        <v>251</v>
      </c>
      <c r="C343" s="28" t="s">
        <v>227</v>
      </c>
      <c r="D343" s="30" t="n">
        <v>40550000</v>
      </c>
      <c r="E343" s="28" t="n">
        <v>2019</v>
      </c>
      <c r="F343" s="98" t="s">
        <v>228</v>
      </c>
      <c r="G343" s="28" t="s">
        <v>232</v>
      </c>
      <c r="H343" s="28" t="s">
        <v>233</v>
      </c>
    </row>
    <row r="344" customFormat="false" ht="27.75" hidden="false" customHeight="true" outlineLevel="0" collapsed="false">
      <c r="A344" s="98" t="s">
        <v>156</v>
      </c>
      <c r="B344" s="98" t="s">
        <v>237</v>
      </c>
      <c r="C344" s="28" t="s">
        <v>238</v>
      </c>
      <c r="D344" s="30" t="n">
        <v>31300000</v>
      </c>
      <c r="E344" s="28" t="n">
        <v>2024</v>
      </c>
      <c r="F344" s="98" t="s">
        <v>239</v>
      </c>
      <c r="G344" s="28" t="s">
        <v>229</v>
      </c>
      <c r="H344" s="28" t="s">
        <v>243</v>
      </c>
    </row>
    <row r="345" customFormat="false" ht="27.75" hidden="false" customHeight="true" outlineLevel="0" collapsed="false">
      <c r="A345" s="98" t="s">
        <v>156</v>
      </c>
      <c r="B345" s="98" t="s">
        <v>241</v>
      </c>
      <c r="C345" s="28" t="s">
        <v>238</v>
      </c>
      <c r="D345" s="30" t="n">
        <v>36160000</v>
      </c>
      <c r="E345" s="28" t="n">
        <v>2026</v>
      </c>
      <c r="F345" s="98" t="s">
        <v>239</v>
      </c>
      <c r="G345" s="28" t="s">
        <v>229</v>
      </c>
      <c r="H345" s="28" t="s">
        <v>243</v>
      </c>
    </row>
    <row r="346" customFormat="false" ht="23.25" hidden="false" customHeight="true" outlineLevel="0" collapsed="false">
      <c r="A346" s="98" t="s">
        <v>156</v>
      </c>
      <c r="B346" s="98" t="s">
        <v>242</v>
      </c>
      <c r="C346" s="28" t="s">
        <v>238</v>
      </c>
      <c r="D346" s="30" t="n">
        <v>65000000</v>
      </c>
      <c r="E346" s="28" t="n">
        <v>2023</v>
      </c>
      <c r="F346" s="98" t="s">
        <v>239</v>
      </c>
      <c r="G346" s="28" t="s">
        <v>229</v>
      </c>
      <c r="H346" s="28" t="s">
        <v>243</v>
      </c>
    </row>
    <row r="347" customFormat="false" ht="15" hidden="false" customHeight="true" outlineLevel="0" collapsed="false">
      <c r="A347" s="98" t="s">
        <v>156</v>
      </c>
      <c r="B347" s="98" t="s">
        <v>244</v>
      </c>
      <c r="C347" s="28" t="s">
        <v>238</v>
      </c>
      <c r="D347" s="30" t="n">
        <v>20940000</v>
      </c>
      <c r="E347" s="28" t="n">
        <v>2025</v>
      </c>
      <c r="F347" s="98" t="s">
        <v>239</v>
      </c>
      <c r="G347" s="28" t="s">
        <v>232</v>
      </c>
      <c r="H347" s="28" t="s">
        <v>240</v>
      </c>
    </row>
    <row r="348" customFormat="false" ht="42" hidden="false" customHeight="true" outlineLevel="0" collapsed="false">
      <c r="A348" s="98" t="s">
        <v>158</v>
      </c>
      <c r="B348" s="98" t="s">
        <v>226</v>
      </c>
      <c r="C348" s="28" t="s">
        <v>227</v>
      </c>
      <c r="D348" s="30" t="n">
        <v>123360000</v>
      </c>
      <c r="E348" s="28" t="n">
        <v>2021</v>
      </c>
      <c r="F348" s="98" t="s">
        <v>228</v>
      </c>
      <c r="G348" s="28" t="s">
        <v>229</v>
      </c>
      <c r="H348" s="28" t="s">
        <v>230</v>
      </c>
    </row>
    <row r="349" customFormat="false" ht="27.75" hidden="false" customHeight="true" outlineLevel="0" collapsed="false">
      <c r="A349" s="98" t="s">
        <v>158</v>
      </c>
      <c r="B349" s="98" t="s">
        <v>231</v>
      </c>
      <c r="C349" s="28" t="s">
        <v>227</v>
      </c>
      <c r="D349" s="30" t="n">
        <v>83880000</v>
      </c>
      <c r="E349" s="28" t="n">
        <v>2023</v>
      </c>
      <c r="F349" s="98" t="s">
        <v>228</v>
      </c>
      <c r="G349" s="28" t="s">
        <v>232</v>
      </c>
      <c r="H349" s="28" t="s">
        <v>233</v>
      </c>
    </row>
    <row r="350" customFormat="false" ht="27.75" hidden="false" customHeight="true" outlineLevel="0" collapsed="false">
      <c r="A350" s="98" t="s">
        <v>158</v>
      </c>
      <c r="B350" s="98" t="s">
        <v>234</v>
      </c>
      <c r="C350" s="28" t="s">
        <v>227</v>
      </c>
      <c r="D350" s="30" t="n">
        <v>66940000</v>
      </c>
      <c r="E350" s="28" t="n">
        <v>2019</v>
      </c>
      <c r="F350" s="98" t="s">
        <v>228</v>
      </c>
      <c r="G350" s="28" t="s">
        <v>229</v>
      </c>
      <c r="H350" s="28" t="s">
        <v>246</v>
      </c>
    </row>
    <row r="351" customFormat="false" ht="27.75" hidden="false" customHeight="true" outlineLevel="0" collapsed="false">
      <c r="A351" s="98" t="s">
        <v>158</v>
      </c>
      <c r="B351" s="98" t="s">
        <v>236</v>
      </c>
      <c r="C351" s="28" t="s">
        <v>227</v>
      </c>
      <c r="D351" s="30" t="n">
        <v>69500000</v>
      </c>
      <c r="E351" s="28" t="n">
        <v>2021</v>
      </c>
      <c r="F351" s="98" t="s">
        <v>228</v>
      </c>
      <c r="G351" s="28" t="s">
        <v>229</v>
      </c>
      <c r="H351" s="28" t="s">
        <v>235</v>
      </c>
    </row>
    <row r="352" customFormat="false" ht="42" hidden="false" customHeight="true" outlineLevel="0" collapsed="false">
      <c r="A352" s="98" t="s">
        <v>158</v>
      </c>
      <c r="B352" s="98" t="s">
        <v>247</v>
      </c>
      <c r="C352" s="28" t="s">
        <v>227</v>
      </c>
      <c r="D352" s="30" t="n">
        <v>42750000</v>
      </c>
      <c r="E352" s="28" t="n">
        <v>2024</v>
      </c>
      <c r="F352" s="98" t="s">
        <v>228</v>
      </c>
      <c r="G352" s="28" t="s">
        <v>232</v>
      </c>
      <c r="H352" s="28" t="s">
        <v>233</v>
      </c>
    </row>
    <row r="353" customFormat="false" ht="27.75" hidden="false" customHeight="true" outlineLevel="0" collapsed="false">
      <c r="A353" s="98" t="s">
        <v>158</v>
      </c>
      <c r="B353" s="98" t="s">
        <v>237</v>
      </c>
      <c r="C353" s="28" t="s">
        <v>238</v>
      </c>
      <c r="D353" s="30" t="n">
        <v>31570000</v>
      </c>
      <c r="E353" s="28" t="n">
        <v>2025</v>
      </c>
      <c r="F353" s="98" t="s">
        <v>239</v>
      </c>
      <c r="G353" s="28" t="s">
        <v>232</v>
      </c>
      <c r="H353" s="28" t="s">
        <v>240</v>
      </c>
    </row>
    <row r="354" customFormat="false" ht="27.75" hidden="false" customHeight="true" outlineLevel="0" collapsed="false">
      <c r="A354" s="98" t="s">
        <v>158</v>
      </c>
      <c r="B354" s="98" t="s">
        <v>241</v>
      </c>
      <c r="C354" s="28" t="s">
        <v>238</v>
      </c>
      <c r="D354" s="30" t="n">
        <v>32030000</v>
      </c>
      <c r="E354" s="28" t="n">
        <v>2026</v>
      </c>
      <c r="F354" s="98" t="s">
        <v>239</v>
      </c>
      <c r="G354" s="28" t="s">
        <v>232</v>
      </c>
      <c r="H354" s="28" t="s">
        <v>240</v>
      </c>
    </row>
    <row r="355" customFormat="false" ht="23.25" hidden="true" customHeight="true" outlineLevel="0" collapsed="false">
      <c r="A355" s="98" t="s">
        <v>160</v>
      </c>
      <c r="B355" s="98" t="s">
        <v>226</v>
      </c>
      <c r="C355" s="28" t="s">
        <v>227</v>
      </c>
      <c r="D355" s="30" t="n">
        <v>46430000</v>
      </c>
      <c r="E355" s="28" t="n">
        <v>2025</v>
      </c>
      <c r="F355" s="98" t="s">
        <v>228</v>
      </c>
      <c r="G355" s="28" t="s">
        <v>232</v>
      </c>
      <c r="H355" s="28" t="s">
        <v>233</v>
      </c>
    </row>
    <row r="356" customFormat="false" ht="27.75" hidden="true" customHeight="true" outlineLevel="0" collapsed="false">
      <c r="A356" s="98" t="s">
        <v>160</v>
      </c>
      <c r="B356" s="98" t="s">
        <v>231</v>
      </c>
      <c r="C356" s="28" t="s">
        <v>227</v>
      </c>
      <c r="D356" s="30" t="n">
        <v>42280000</v>
      </c>
      <c r="E356" s="28" t="n">
        <v>2020</v>
      </c>
      <c r="F356" s="98" t="s">
        <v>228</v>
      </c>
      <c r="G356" s="28" t="s">
        <v>232</v>
      </c>
      <c r="H356" s="28" t="s">
        <v>233</v>
      </c>
    </row>
    <row r="357" customFormat="false" ht="27.75" hidden="true" customHeight="true" outlineLevel="0" collapsed="false">
      <c r="A357" s="98" t="s">
        <v>160</v>
      </c>
      <c r="B357" s="98" t="s">
        <v>234</v>
      </c>
      <c r="C357" s="28" t="s">
        <v>227</v>
      </c>
      <c r="D357" s="30" t="n">
        <v>45200000</v>
      </c>
      <c r="E357" s="28" t="n">
        <v>2021</v>
      </c>
      <c r="F357" s="98" t="s">
        <v>228</v>
      </c>
      <c r="G357" s="28" t="s">
        <v>229</v>
      </c>
      <c r="H357" s="28" t="s">
        <v>246</v>
      </c>
    </row>
    <row r="358" customFormat="false" ht="27.75" hidden="true" customHeight="true" outlineLevel="0" collapsed="false">
      <c r="A358" s="98" t="s">
        <v>160</v>
      </c>
      <c r="B358" s="98" t="s">
        <v>236</v>
      </c>
      <c r="C358" s="28" t="s">
        <v>227</v>
      </c>
      <c r="D358" s="30" t="n">
        <v>31320000</v>
      </c>
      <c r="E358" s="28" t="n">
        <v>2025</v>
      </c>
      <c r="F358" s="98" t="s">
        <v>228</v>
      </c>
      <c r="G358" s="28" t="s">
        <v>229</v>
      </c>
      <c r="H358" s="28" t="s">
        <v>230</v>
      </c>
    </row>
    <row r="359" customFormat="false" ht="27.75" hidden="true" customHeight="true" outlineLevel="0" collapsed="false">
      <c r="A359" s="98" t="s">
        <v>160</v>
      </c>
      <c r="B359" s="98" t="s">
        <v>247</v>
      </c>
      <c r="C359" s="28" t="s">
        <v>227</v>
      </c>
      <c r="D359" s="30" t="n">
        <v>45620000</v>
      </c>
      <c r="E359" s="28" t="n">
        <v>2024</v>
      </c>
      <c r="F359" s="98" t="s">
        <v>228</v>
      </c>
      <c r="G359" s="28" t="s">
        <v>232</v>
      </c>
      <c r="H359" s="28" t="s">
        <v>233</v>
      </c>
    </row>
    <row r="360" customFormat="false" ht="23.25" hidden="true" customHeight="true" outlineLevel="0" collapsed="false">
      <c r="A360" s="98" t="s">
        <v>160</v>
      </c>
      <c r="B360" s="98" t="s">
        <v>249</v>
      </c>
      <c r="C360" s="28" t="s">
        <v>227</v>
      </c>
      <c r="D360" s="30" t="n">
        <v>49220000</v>
      </c>
      <c r="E360" s="28" t="n">
        <v>2019</v>
      </c>
      <c r="F360" s="98" t="s">
        <v>228</v>
      </c>
      <c r="G360" s="28" t="s">
        <v>229</v>
      </c>
      <c r="H360" s="28" t="s">
        <v>246</v>
      </c>
    </row>
    <row r="361" customFormat="false" ht="15" hidden="true" customHeight="true" outlineLevel="0" collapsed="false">
      <c r="A361" s="98" t="s">
        <v>160</v>
      </c>
      <c r="B361" s="98" t="s">
        <v>250</v>
      </c>
      <c r="C361" s="28" t="s">
        <v>227</v>
      </c>
      <c r="D361" s="30" t="n">
        <v>35640000</v>
      </c>
      <c r="E361" s="28" t="n">
        <v>2019</v>
      </c>
      <c r="F361" s="98" t="s">
        <v>228</v>
      </c>
      <c r="G361" s="28" t="s">
        <v>232</v>
      </c>
      <c r="H361" s="28" t="s">
        <v>233</v>
      </c>
    </row>
    <row r="362" customFormat="false" ht="27.75" hidden="true" customHeight="true" outlineLevel="0" collapsed="false">
      <c r="A362" s="98" t="s">
        <v>160</v>
      </c>
      <c r="B362" s="98" t="s">
        <v>237</v>
      </c>
      <c r="C362" s="28" t="s">
        <v>238</v>
      </c>
      <c r="D362" s="30" t="n">
        <v>59190000</v>
      </c>
      <c r="E362" s="28" t="n">
        <v>2024</v>
      </c>
      <c r="F362" s="98" t="s">
        <v>239</v>
      </c>
      <c r="G362" s="28" t="s">
        <v>232</v>
      </c>
      <c r="H362" s="28" t="s">
        <v>240</v>
      </c>
    </row>
    <row r="363" customFormat="false" ht="23.25" hidden="true" customHeight="true" outlineLevel="0" collapsed="false">
      <c r="A363" s="98" t="s">
        <v>160</v>
      </c>
      <c r="B363" s="98" t="s">
        <v>241</v>
      </c>
      <c r="C363" s="28" t="s">
        <v>238</v>
      </c>
      <c r="D363" s="30" t="n">
        <v>24890000</v>
      </c>
      <c r="E363" s="28" t="n">
        <v>2026</v>
      </c>
      <c r="F363" s="98" t="s">
        <v>239</v>
      </c>
      <c r="G363" s="28" t="s">
        <v>232</v>
      </c>
      <c r="H363" s="28" t="s">
        <v>240</v>
      </c>
    </row>
    <row r="364" customFormat="false" ht="27.75" hidden="true" customHeight="true" outlineLevel="0" collapsed="false">
      <c r="A364" s="98" t="s">
        <v>160</v>
      </c>
      <c r="B364" s="98" t="s">
        <v>242</v>
      </c>
      <c r="C364" s="28" t="s">
        <v>238</v>
      </c>
      <c r="D364" s="30" t="n">
        <v>21400000</v>
      </c>
      <c r="E364" s="28" t="n">
        <v>2026</v>
      </c>
      <c r="F364" s="98" t="s">
        <v>239</v>
      </c>
      <c r="G364" s="28" t="s">
        <v>232</v>
      </c>
      <c r="H364" s="28" t="s">
        <v>240</v>
      </c>
    </row>
    <row r="365" customFormat="false" ht="23.25" hidden="true" customHeight="true" outlineLevel="0" collapsed="false">
      <c r="A365" s="98" t="s">
        <v>160</v>
      </c>
      <c r="B365" s="98" t="s">
        <v>244</v>
      </c>
      <c r="C365" s="28" t="s">
        <v>238</v>
      </c>
      <c r="D365" s="30" t="n">
        <v>78910000</v>
      </c>
      <c r="E365" s="28" t="n">
        <v>2024</v>
      </c>
      <c r="F365" s="98" t="s">
        <v>239</v>
      </c>
      <c r="G365" s="28" t="s">
        <v>229</v>
      </c>
      <c r="H365" s="28" t="s">
        <v>243</v>
      </c>
    </row>
    <row r="366" customFormat="false" ht="15" hidden="true" customHeight="true" outlineLevel="0" collapsed="false">
      <c r="A366" s="98" t="s">
        <v>163</v>
      </c>
      <c r="B366" s="98" t="s">
        <v>226</v>
      </c>
      <c r="C366" s="28" t="s">
        <v>227</v>
      </c>
      <c r="D366" s="30" t="n">
        <v>16490000</v>
      </c>
      <c r="E366" s="28" t="n">
        <v>2022</v>
      </c>
      <c r="F366" s="98" t="s">
        <v>228</v>
      </c>
      <c r="G366" s="28" t="s">
        <v>232</v>
      </c>
      <c r="H366" s="28" t="s">
        <v>233</v>
      </c>
    </row>
    <row r="367" customFormat="false" ht="27.75" hidden="true" customHeight="true" outlineLevel="0" collapsed="false">
      <c r="A367" s="98" t="s">
        <v>163</v>
      </c>
      <c r="B367" s="98" t="s">
        <v>231</v>
      </c>
      <c r="C367" s="28" t="s">
        <v>227</v>
      </c>
      <c r="D367" s="30" t="n">
        <v>151290000</v>
      </c>
      <c r="E367" s="28" t="n">
        <v>2020</v>
      </c>
      <c r="F367" s="98" t="s">
        <v>228</v>
      </c>
      <c r="G367" s="28" t="s">
        <v>229</v>
      </c>
      <c r="H367" s="28" t="s">
        <v>230</v>
      </c>
    </row>
    <row r="368" customFormat="false" ht="27.75" hidden="true" customHeight="true" outlineLevel="0" collapsed="false">
      <c r="A368" s="98" t="s">
        <v>163</v>
      </c>
      <c r="B368" s="98" t="s">
        <v>234</v>
      </c>
      <c r="C368" s="28" t="s">
        <v>227</v>
      </c>
      <c r="D368" s="30" t="n">
        <v>30480000</v>
      </c>
      <c r="E368" s="28" t="n">
        <v>2019</v>
      </c>
      <c r="F368" s="98" t="s">
        <v>228</v>
      </c>
      <c r="G368" s="28" t="s">
        <v>229</v>
      </c>
      <c r="H368" s="28" t="s">
        <v>230</v>
      </c>
    </row>
    <row r="369" customFormat="false" ht="23.25" hidden="true" customHeight="true" outlineLevel="0" collapsed="false">
      <c r="A369" s="98" t="s">
        <v>163</v>
      </c>
      <c r="B369" s="98" t="s">
        <v>236</v>
      </c>
      <c r="C369" s="28" t="s">
        <v>227</v>
      </c>
      <c r="D369" s="30" t="n">
        <v>123290000</v>
      </c>
      <c r="E369" s="28" t="n">
        <v>2023</v>
      </c>
      <c r="F369" s="98" t="s">
        <v>228</v>
      </c>
      <c r="G369" s="28" t="s">
        <v>232</v>
      </c>
      <c r="H369" s="28" t="s">
        <v>233</v>
      </c>
    </row>
    <row r="370" customFormat="false" ht="15" hidden="true" customHeight="true" outlineLevel="0" collapsed="false">
      <c r="A370" s="98" t="s">
        <v>163</v>
      </c>
      <c r="B370" s="98" t="s">
        <v>247</v>
      </c>
      <c r="C370" s="28" t="s">
        <v>227</v>
      </c>
      <c r="D370" s="30" t="n">
        <v>98750000</v>
      </c>
      <c r="E370" s="28" t="n">
        <v>2021</v>
      </c>
      <c r="F370" s="98" t="s">
        <v>228</v>
      </c>
      <c r="G370" s="28" t="s">
        <v>232</v>
      </c>
      <c r="H370" s="28" t="s">
        <v>233</v>
      </c>
    </row>
    <row r="371" customFormat="false" ht="15" hidden="true" customHeight="true" outlineLevel="0" collapsed="false">
      <c r="A371" s="98" t="s">
        <v>163</v>
      </c>
      <c r="B371" s="98" t="s">
        <v>249</v>
      </c>
      <c r="C371" s="28" t="s">
        <v>227</v>
      </c>
      <c r="D371" s="30" t="n">
        <v>160270000</v>
      </c>
      <c r="E371" s="28" t="n">
        <v>2020</v>
      </c>
      <c r="F371" s="98" t="s">
        <v>228</v>
      </c>
      <c r="G371" s="28" t="s">
        <v>229</v>
      </c>
      <c r="H371" s="28" t="s">
        <v>230</v>
      </c>
    </row>
    <row r="372" customFormat="false" ht="15" hidden="true" customHeight="true" outlineLevel="0" collapsed="false">
      <c r="A372" s="98" t="s">
        <v>163</v>
      </c>
      <c r="B372" s="98" t="s">
        <v>250</v>
      </c>
      <c r="C372" s="28" t="s">
        <v>227</v>
      </c>
      <c r="D372" s="30" t="n">
        <v>57820000</v>
      </c>
      <c r="E372" s="28" t="n">
        <v>2025</v>
      </c>
      <c r="F372" s="98" t="s">
        <v>228</v>
      </c>
      <c r="G372" s="28" t="s">
        <v>232</v>
      </c>
      <c r="H372" s="28" t="s">
        <v>233</v>
      </c>
    </row>
    <row r="373" customFormat="false" ht="15" hidden="true" customHeight="true" outlineLevel="0" collapsed="false">
      <c r="A373" s="98" t="s">
        <v>163</v>
      </c>
      <c r="B373" s="98" t="s">
        <v>251</v>
      </c>
      <c r="C373" s="28" t="s">
        <v>227</v>
      </c>
      <c r="D373" s="30" t="n">
        <v>153830000</v>
      </c>
      <c r="E373" s="28" t="n">
        <v>2021</v>
      </c>
      <c r="F373" s="98" t="s">
        <v>228</v>
      </c>
      <c r="G373" s="28" t="s">
        <v>232</v>
      </c>
      <c r="H373" s="28" t="s">
        <v>233</v>
      </c>
    </row>
    <row r="374" customFormat="false" ht="15" hidden="true" customHeight="true" outlineLevel="0" collapsed="false">
      <c r="A374" s="98" t="s">
        <v>163</v>
      </c>
      <c r="B374" s="98" t="s">
        <v>252</v>
      </c>
      <c r="C374" s="28" t="s">
        <v>227</v>
      </c>
      <c r="D374" s="30" t="n">
        <v>174970000</v>
      </c>
      <c r="E374" s="28" t="n">
        <v>2024</v>
      </c>
      <c r="F374" s="98" t="s">
        <v>228</v>
      </c>
      <c r="G374" s="28" t="s">
        <v>232</v>
      </c>
      <c r="H374" s="28" t="s">
        <v>233</v>
      </c>
    </row>
    <row r="375" customFormat="false" ht="27.75" hidden="true" customHeight="true" outlineLevel="0" collapsed="false">
      <c r="A375" s="98" t="s">
        <v>163</v>
      </c>
      <c r="B375" s="98" t="s">
        <v>237</v>
      </c>
      <c r="C375" s="28" t="s">
        <v>238</v>
      </c>
      <c r="D375" s="30" t="n">
        <v>32730000</v>
      </c>
      <c r="E375" s="28" t="n">
        <v>2024</v>
      </c>
      <c r="F375" s="98" t="s">
        <v>239</v>
      </c>
      <c r="G375" s="28" t="s">
        <v>232</v>
      </c>
      <c r="H375" s="28" t="s">
        <v>240</v>
      </c>
    </row>
    <row r="376" customFormat="false" ht="23.25" hidden="true" customHeight="true" outlineLevel="0" collapsed="false">
      <c r="A376" s="98" t="s">
        <v>163</v>
      </c>
      <c r="B376" s="98" t="s">
        <v>241</v>
      </c>
      <c r="C376" s="28" t="s">
        <v>238</v>
      </c>
      <c r="D376" s="30" t="n">
        <v>30260000</v>
      </c>
      <c r="E376" s="28" t="n">
        <v>2024</v>
      </c>
      <c r="F376" s="98" t="s">
        <v>239</v>
      </c>
      <c r="G376" s="28" t="s">
        <v>229</v>
      </c>
      <c r="H376" s="28" t="s">
        <v>243</v>
      </c>
    </row>
    <row r="377" customFormat="false" ht="15" hidden="true" customHeight="true" outlineLevel="0" collapsed="false">
      <c r="A377" s="98" t="s">
        <v>163</v>
      </c>
      <c r="B377" s="98" t="s">
        <v>242</v>
      </c>
      <c r="C377" s="28" t="s">
        <v>238</v>
      </c>
      <c r="D377" s="30" t="n">
        <v>26970000</v>
      </c>
      <c r="E377" s="28" t="n">
        <v>2025</v>
      </c>
      <c r="F377" s="98" t="s">
        <v>239</v>
      </c>
      <c r="G377" s="28" t="s">
        <v>232</v>
      </c>
      <c r="H377" s="28" t="s">
        <v>240</v>
      </c>
    </row>
    <row r="378" customFormat="false" ht="15" hidden="true" customHeight="true" outlineLevel="0" collapsed="false">
      <c r="A378" s="98" t="s">
        <v>163</v>
      </c>
      <c r="B378" s="98" t="s">
        <v>244</v>
      </c>
      <c r="C378" s="28" t="s">
        <v>238</v>
      </c>
      <c r="D378" s="30" t="n">
        <v>56940000</v>
      </c>
      <c r="E378" s="28" t="n">
        <v>2023</v>
      </c>
      <c r="F378" s="98" t="s">
        <v>239</v>
      </c>
      <c r="G378" s="28" t="s">
        <v>229</v>
      </c>
      <c r="H378" s="28" t="s">
        <v>243</v>
      </c>
    </row>
    <row r="379" customFormat="false" ht="55.5" hidden="true" customHeight="true" outlineLevel="0" collapsed="false">
      <c r="A379" s="98" t="s">
        <v>165</v>
      </c>
      <c r="B379" s="98" t="s">
        <v>226</v>
      </c>
      <c r="C379" s="28" t="s">
        <v>227</v>
      </c>
      <c r="D379" s="30" t="n">
        <v>40480000</v>
      </c>
      <c r="E379" s="28" t="n">
        <v>2022</v>
      </c>
      <c r="F379" s="98" t="s">
        <v>228</v>
      </c>
      <c r="G379" s="28" t="s">
        <v>232</v>
      </c>
      <c r="H379" s="28" t="s">
        <v>233</v>
      </c>
    </row>
    <row r="380" customFormat="false" ht="42" hidden="true" customHeight="true" outlineLevel="0" collapsed="false">
      <c r="A380" s="98" t="s">
        <v>165</v>
      </c>
      <c r="B380" s="98" t="s">
        <v>231</v>
      </c>
      <c r="C380" s="28" t="s">
        <v>227</v>
      </c>
      <c r="D380" s="30" t="n">
        <v>38170000</v>
      </c>
      <c r="E380" s="28" t="n">
        <v>2019</v>
      </c>
      <c r="F380" s="98" t="s">
        <v>228</v>
      </c>
      <c r="G380" s="28" t="s">
        <v>232</v>
      </c>
      <c r="H380" s="28" t="s">
        <v>233</v>
      </c>
    </row>
    <row r="381" customFormat="false" ht="27.75" hidden="true" customHeight="true" outlineLevel="0" collapsed="false">
      <c r="A381" s="98" t="s">
        <v>165</v>
      </c>
      <c r="B381" s="98" t="s">
        <v>234</v>
      </c>
      <c r="C381" s="28" t="s">
        <v>227</v>
      </c>
      <c r="D381" s="30" t="n">
        <v>85670000</v>
      </c>
      <c r="E381" s="28" t="n">
        <v>2021</v>
      </c>
      <c r="F381" s="98" t="s">
        <v>228</v>
      </c>
      <c r="G381" s="28" t="s">
        <v>232</v>
      </c>
      <c r="H381" s="28" t="s">
        <v>233</v>
      </c>
    </row>
    <row r="382" customFormat="false" ht="42" hidden="true" customHeight="true" outlineLevel="0" collapsed="false">
      <c r="A382" s="98" t="s">
        <v>165</v>
      </c>
      <c r="B382" s="98" t="s">
        <v>236</v>
      </c>
      <c r="C382" s="28" t="s">
        <v>227</v>
      </c>
      <c r="D382" s="30" t="n">
        <v>55260000</v>
      </c>
      <c r="E382" s="28" t="n">
        <v>2023</v>
      </c>
      <c r="F382" s="98" t="s">
        <v>228</v>
      </c>
      <c r="G382" s="28" t="s">
        <v>229</v>
      </c>
      <c r="H382" s="28" t="s">
        <v>235</v>
      </c>
    </row>
    <row r="383" customFormat="false" ht="42" hidden="true" customHeight="true" outlineLevel="0" collapsed="false">
      <c r="A383" s="98" t="s">
        <v>165</v>
      </c>
      <c r="B383" s="98" t="s">
        <v>247</v>
      </c>
      <c r="C383" s="28" t="s">
        <v>227</v>
      </c>
      <c r="D383" s="30" t="n">
        <v>44070000</v>
      </c>
      <c r="E383" s="28" t="n">
        <v>2023</v>
      </c>
      <c r="F383" s="98" t="s">
        <v>228</v>
      </c>
      <c r="G383" s="28" t="s">
        <v>229</v>
      </c>
      <c r="H383" s="28" t="s">
        <v>248</v>
      </c>
    </row>
    <row r="384" customFormat="false" ht="27.75" hidden="true" customHeight="true" outlineLevel="0" collapsed="false">
      <c r="A384" s="98" t="s">
        <v>165</v>
      </c>
      <c r="B384" s="98" t="s">
        <v>249</v>
      </c>
      <c r="C384" s="28" t="s">
        <v>227</v>
      </c>
      <c r="D384" s="30" t="n">
        <v>49920000</v>
      </c>
      <c r="E384" s="28" t="n">
        <v>2025</v>
      </c>
      <c r="F384" s="98" t="s">
        <v>228</v>
      </c>
      <c r="G384" s="28" t="s">
        <v>229</v>
      </c>
      <c r="H384" s="28" t="s">
        <v>235</v>
      </c>
    </row>
    <row r="385" customFormat="false" ht="27.75" hidden="true" customHeight="true" outlineLevel="0" collapsed="false">
      <c r="A385" s="98" t="s">
        <v>165</v>
      </c>
      <c r="B385" s="98" t="s">
        <v>237</v>
      </c>
      <c r="C385" s="28" t="s">
        <v>238</v>
      </c>
      <c r="D385" s="30" t="n">
        <v>27790000</v>
      </c>
      <c r="E385" s="28" t="n">
        <v>2026</v>
      </c>
      <c r="F385" s="98" t="s">
        <v>239</v>
      </c>
      <c r="G385" s="28" t="s">
        <v>229</v>
      </c>
      <c r="H385" s="28" t="s">
        <v>243</v>
      </c>
    </row>
    <row r="386" customFormat="false" ht="27.75" hidden="true" customHeight="true" outlineLevel="0" collapsed="false">
      <c r="A386" s="98" t="s">
        <v>165</v>
      </c>
      <c r="B386" s="98" t="s">
        <v>241</v>
      </c>
      <c r="C386" s="28" t="s">
        <v>238</v>
      </c>
      <c r="D386" s="30" t="n">
        <v>39080000</v>
      </c>
      <c r="E386" s="28" t="n">
        <v>2023</v>
      </c>
      <c r="F386" s="98" t="s">
        <v>239</v>
      </c>
      <c r="G386" s="28" t="s">
        <v>232</v>
      </c>
      <c r="H386" s="28" t="s">
        <v>240</v>
      </c>
    </row>
    <row r="387" customFormat="false" ht="27.75" hidden="true" customHeight="true" outlineLevel="0" collapsed="false">
      <c r="A387" s="98" t="s">
        <v>165</v>
      </c>
      <c r="B387" s="98" t="s">
        <v>242</v>
      </c>
      <c r="C387" s="28" t="s">
        <v>238</v>
      </c>
      <c r="D387" s="30" t="n">
        <v>27910000</v>
      </c>
      <c r="E387" s="28" t="n">
        <v>2023</v>
      </c>
      <c r="F387" s="98" t="s">
        <v>239</v>
      </c>
      <c r="G387" s="28" t="s">
        <v>232</v>
      </c>
      <c r="H387" s="28" t="s">
        <v>240</v>
      </c>
    </row>
    <row r="388" customFormat="false" ht="27.75" hidden="true" customHeight="true" outlineLevel="0" collapsed="false">
      <c r="A388" s="98" t="s">
        <v>165</v>
      </c>
      <c r="B388" s="98" t="s">
        <v>244</v>
      </c>
      <c r="C388" s="28" t="s">
        <v>238</v>
      </c>
      <c r="D388" s="30" t="n">
        <v>14410000</v>
      </c>
      <c r="E388" s="28" t="n">
        <v>2023</v>
      </c>
      <c r="F388" s="98" t="s">
        <v>239</v>
      </c>
      <c r="G388" s="28" t="s">
        <v>229</v>
      </c>
      <c r="H388" s="28" t="s">
        <v>243</v>
      </c>
    </row>
    <row r="389" customFormat="false" ht="27.75" hidden="true" customHeight="true" outlineLevel="0" collapsed="false">
      <c r="A389" s="98" t="s">
        <v>165</v>
      </c>
      <c r="B389" s="98" t="s">
        <v>245</v>
      </c>
      <c r="C389" s="28" t="s">
        <v>238</v>
      </c>
      <c r="D389" s="30" t="n">
        <v>18960000</v>
      </c>
      <c r="E389" s="28" t="n">
        <v>2025</v>
      </c>
      <c r="F389" s="98" t="s">
        <v>239</v>
      </c>
      <c r="G389" s="28" t="s">
        <v>229</v>
      </c>
      <c r="H389" s="28" t="s">
        <v>243</v>
      </c>
    </row>
    <row r="390" customFormat="false" ht="27.75" hidden="true" customHeight="true" outlineLevel="0" collapsed="false">
      <c r="A390" s="98" t="s">
        <v>167</v>
      </c>
      <c r="B390" s="98" t="s">
        <v>226</v>
      </c>
      <c r="C390" s="28" t="s">
        <v>227</v>
      </c>
      <c r="D390" s="30" t="n">
        <v>87540000</v>
      </c>
      <c r="E390" s="28" t="n">
        <v>2024</v>
      </c>
      <c r="F390" s="98" t="s">
        <v>228</v>
      </c>
      <c r="G390" s="28" t="s">
        <v>229</v>
      </c>
      <c r="H390" s="28" t="s">
        <v>248</v>
      </c>
    </row>
    <row r="391" customFormat="false" ht="69" hidden="true" customHeight="true" outlineLevel="0" collapsed="false">
      <c r="A391" s="98" t="s">
        <v>167</v>
      </c>
      <c r="B391" s="98" t="s">
        <v>231</v>
      </c>
      <c r="C391" s="28" t="s">
        <v>227</v>
      </c>
      <c r="D391" s="30" t="n">
        <v>24750000</v>
      </c>
      <c r="E391" s="28" t="n">
        <v>2019</v>
      </c>
      <c r="F391" s="98" t="s">
        <v>228</v>
      </c>
      <c r="G391" s="28" t="s">
        <v>229</v>
      </c>
      <c r="H391" s="28" t="s">
        <v>246</v>
      </c>
    </row>
    <row r="392" customFormat="false" ht="27.75" hidden="true" customHeight="true" outlineLevel="0" collapsed="false">
      <c r="A392" s="98" t="s">
        <v>167</v>
      </c>
      <c r="B392" s="98" t="s">
        <v>234</v>
      </c>
      <c r="C392" s="28" t="s">
        <v>227</v>
      </c>
      <c r="D392" s="30" t="n">
        <v>45580000</v>
      </c>
      <c r="E392" s="28" t="n">
        <v>2023</v>
      </c>
      <c r="F392" s="98" t="s">
        <v>228</v>
      </c>
      <c r="G392" s="28" t="s">
        <v>229</v>
      </c>
      <c r="H392" s="28" t="s">
        <v>235</v>
      </c>
    </row>
    <row r="393" customFormat="false" ht="69.75" hidden="true" customHeight="true" outlineLevel="0" collapsed="false">
      <c r="A393" s="98" t="s">
        <v>167</v>
      </c>
      <c r="B393" s="98" t="s">
        <v>236</v>
      </c>
      <c r="C393" s="28" t="s">
        <v>227</v>
      </c>
      <c r="D393" s="30" t="n">
        <v>58990000</v>
      </c>
      <c r="E393" s="28" t="n">
        <v>2021</v>
      </c>
      <c r="F393" s="98" t="s">
        <v>228</v>
      </c>
      <c r="G393" s="28" t="s">
        <v>229</v>
      </c>
      <c r="H393" s="28" t="s">
        <v>235</v>
      </c>
    </row>
    <row r="394" customFormat="false" ht="27.75" hidden="true" customHeight="true" outlineLevel="0" collapsed="false">
      <c r="A394" s="98" t="s">
        <v>167</v>
      </c>
      <c r="B394" s="98" t="s">
        <v>247</v>
      </c>
      <c r="C394" s="28" t="s">
        <v>227</v>
      </c>
      <c r="D394" s="30" t="n">
        <v>32300000</v>
      </c>
      <c r="E394" s="28" t="n">
        <v>2024</v>
      </c>
      <c r="F394" s="98" t="s">
        <v>228</v>
      </c>
      <c r="G394" s="28" t="s">
        <v>229</v>
      </c>
      <c r="H394" s="28" t="s">
        <v>248</v>
      </c>
    </row>
    <row r="395" customFormat="false" ht="27.75" hidden="true" customHeight="true" outlineLevel="0" collapsed="false">
      <c r="A395" s="98" t="s">
        <v>167</v>
      </c>
      <c r="B395" s="98" t="s">
        <v>249</v>
      </c>
      <c r="C395" s="28" t="s">
        <v>227</v>
      </c>
      <c r="D395" s="30" t="n">
        <v>38710000</v>
      </c>
      <c r="E395" s="28" t="n">
        <v>2020</v>
      </c>
      <c r="F395" s="98" t="s">
        <v>228</v>
      </c>
      <c r="G395" s="28" t="s">
        <v>232</v>
      </c>
      <c r="H395" s="28" t="s">
        <v>233</v>
      </c>
    </row>
    <row r="396" customFormat="false" ht="27.75" hidden="true" customHeight="true" outlineLevel="0" collapsed="false">
      <c r="A396" s="98" t="s">
        <v>167</v>
      </c>
      <c r="B396" s="98" t="s">
        <v>250</v>
      </c>
      <c r="C396" s="28" t="s">
        <v>227</v>
      </c>
      <c r="D396" s="30" t="n">
        <v>47210000</v>
      </c>
      <c r="E396" s="28" t="n">
        <v>2024</v>
      </c>
      <c r="F396" s="98" t="s">
        <v>228</v>
      </c>
      <c r="G396" s="28" t="s">
        <v>232</v>
      </c>
      <c r="H396" s="28" t="s">
        <v>233</v>
      </c>
    </row>
    <row r="397" customFormat="false" ht="27.75" hidden="true" customHeight="true" outlineLevel="0" collapsed="false">
      <c r="A397" s="98" t="s">
        <v>167</v>
      </c>
      <c r="B397" s="98" t="s">
        <v>251</v>
      </c>
      <c r="C397" s="28" t="s">
        <v>227</v>
      </c>
      <c r="D397" s="30" t="n">
        <v>58290000</v>
      </c>
      <c r="E397" s="28" t="n">
        <v>2020</v>
      </c>
      <c r="F397" s="98" t="s">
        <v>228</v>
      </c>
      <c r="G397" s="28" t="s">
        <v>232</v>
      </c>
      <c r="H397" s="28" t="s">
        <v>233</v>
      </c>
    </row>
    <row r="398" customFormat="false" ht="27.75" hidden="true" customHeight="true" outlineLevel="0" collapsed="false">
      <c r="A398" s="98" t="s">
        <v>167</v>
      </c>
      <c r="B398" s="98" t="s">
        <v>237</v>
      </c>
      <c r="C398" s="28" t="s">
        <v>238</v>
      </c>
      <c r="D398" s="30" t="n">
        <v>18800000</v>
      </c>
      <c r="E398" s="28" t="n">
        <v>2024</v>
      </c>
      <c r="F398" s="98" t="s">
        <v>239</v>
      </c>
      <c r="G398" s="28" t="s">
        <v>229</v>
      </c>
      <c r="H398" s="28" t="s">
        <v>243</v>
      </c>
    </row>
    <row r="399" customFormat="false" ht="27.75" hidden="true" customHeight="true" outlineLevel="0" collapsed="false">
      <c r="A399" s="98" t="s">
        <v>167</v>
      </c>
      <c r="B399" s="98" t="s">
        <v>241</v>
      </c>
      <c r="C399" s="28" t="s">
        <v>238</v>
      </c>
      <c r="D399" s="30" t="n">
        <v>14480000</v>
      </c>
      <c r="E399" s="28" t="n">
        <v>2025</v>
      </c>
      <c r="F399" s="98" t="s">
        <v>239</v>
      </c>
      <c r="G399" s="28" t="s">
        <v>232</v>
      </c>
      <c r="H399" s="28" t="s">
        <v>240</v>
      </c>
    </row>
    <row r="400" customFormat="false" ht="27.75" hidden="true" customHeight="true" outlineLevel="0" collapsed="false">
      <c r="A400" s="98" t="s">
        <v>167</v>
      </c>
      <c r="B400" s="98" t="s">
        <v>242</v>
      </c>
      <c r="C400" s="28" t="s">
        <v>238</v>
      </c>
      <c r="D400" s="30" t="n">
        <v>5270000</v>
      </c>
      <c r="E400" s="28" t="n">
        <v>2023</v>
      </c>
      <c r="F400" s="98" t="s">
        <v>239</v>
      </c>
      <c r="G400" s="28" t="s">
        <v>232</v>
      </c>
      <c r="H400" s="28" t="s">
        <v>240</v>
      </c>
    </row>
    <row r="401" customFormat="false" ht="42" hidden="true" customHeight="true" outlineLevel="0" collapsed="false">
      <c r="A401" s="98" t="s">
        <v>169</v>
      </c>
      <c r="B401" s="98" t="s">
        <v>226</v>
      </c>
      <c r="C401" s="28" t="s">
        <v>227</v>
      </c>
      <c r="D401" s="30" t="n">
        <v>279800000</v>
      </c>
      <c r="E401" s="28" t="n">
        <v>2024</v>
      </c>
      <c r="F401" s="98" t="s">
        <v>228</v>
      </c>
      <c r="G401" s="28" t="s">
        <v>232</v>
      </c>
      <c r="H401" s="28" t="s">
        <v>233</v>
      </c>
    </row>
    <row r="402" customFormat="false" ht="42" hidden="true" customHeight="true" outlineLevel="0" collapsed="false">
      <c r="A402" s="98" t="s">
        <v>169</v>
      </c>
      <c r="B402" s="98" t="s">
        <v>231</v>
      </c>
      <c r="C402" s="28" t="s">
        <v>227</v>
      </c>
      <c r="D402" s="30" t="n">
        <v>83190000</v>
      </c>
      <c r="E402" s="28" t="n">
        <v>2024</v>
      </c>
      <c r="F402" s="98" t="s">
        <v>228</v>
      </c>
      <c r="G402" s="28" t="s">
        <v>229</v>
      </c>
      <c r="H402" s="28" t="s">
        <v>235</v>
      </c>
    </row>
    <row r="403" customFormat="false" ht="42" hidden="true" customHeight="true" outlineLevel="0" collapsed="false">
      <c r="A403" s="98" t="s">
        <v>169</v>
      </c>
      <c r="B403" s="98" t="s">
        <v>234</v>
      </c>
      <c r="C403" s="28" t="s">
        <v>227</v>
      </c>
      <c r="D403" s="30" t="n">
        <v>368140000</v>
      </c>
      <c r="E403" s="28" t="n">
        <v>2024</v>
      </c>
      <c r="F403" s="98" t="s">
        <v>228</v>
      </c>
      <c r="G403" s="28" t="s">
        <v>232</v>
      </c>
      <c r="H403" s="28" t="s">
        <v>233</v>
      </c>
    </row>
    <row r="404" customFormat="false" ht="42" hidden="true" customHeight="true" outlineLevel="0" collapsed="false">
      <c r="A404" s="98" t="s">
        <v>169</v>
      </c>
      <c r="B404" s="98" t="s">
        <v>236</v>
      </c>
      <c r="C404" s="28" t="s">
        <v>227</v>
      </c>
      <c r="D404" s="30" t="n">
        <v>94390000</v>
      </c>
      <c r="E404" s="28" t="n">
        <v>2019</v>
      </c>
      <c r="F404" s="98" t="s">
        <v>228</v>
      </c>
      <c r="G404" s="28" t="s">
        <v>229</v>
      </c>
      <c r="H404" s="28" t="s">
        <v>248</v>
      </c>
    </row>
    <row r="405" customFormat="false" ht="27.75" hidden="true" customHeight="true" outlineLevel="0" collapsed="false">
      <c r="A405" s="98" t="s">
        <v>169</v>
      </c>
      <c r="B405" s="98" t="s">
        <v>247</v>
      </c>
      <c r="C405" s="28" t="s">
        <v>227</v>
      </c>
      <c r="D405" s="30" t="n">
        <v>275120000</v>
      </c>
      <c r="E405" s="28" t="n">
        <v>2019</v>
      </c>
      <c r="F405" s="98" t="s">
        <v>228</v>
      </c>
      <c r="G405" s="28" t="s">
        <v>229</v>
      </c>
      <c r="H405" s="28" t="s">
        <v>246</v>
      </c>
    </row>
    <row r="406" customFormat="false" ht="33" hidden="true" customHeight="true" outlineLevel="0" collapsed="false">
      <c r="A406" s="98" t="s">
        <v>169</v>
      </c>
      <c r="B406" s="98" t="s">
        <v>249</v>
      </c>
      <c r="C406" s="28" t="s">
        <v>227</v>
      </c>
      <c r="D406" s="30" t="n">
        <v>212270000</v>
      </c>
      <c r="E406" s="28" t="n">
        <v>2025</v>
      </c>
      <c r="F406" s="98" t="s">
        <v>228</v>
      </c>
      <c r="G406" s="28" t="s">
        <v>229</v>
      </c>
      <c r="H406" s="28" t="s">
        <v>230</v>
      </c>
    </row>
    <row r="407" customFormat="false" ht="27" hidden="true" customHeight="true" outlineLevel="0" collapsed="false">
      <c r="A407" s="98" t="s">
        <v>169</v>
      </c>
      <c r="B407" s="98" t="s">
        <v>250</v>
      </c>
      <c r="C407" s="28" t="s">
        <v>227</v>
      </c>
      <c r="D407" s="30" t="n">
        <v>97170000</v>
      </c>
      <c r="E407" s="28" t="n">
        <v>2020</v>
      </c>
      <c r="F407" s="98" t="s">
        <v>228</v>
      </c>
      <c r="G407" s="28" t="s">
        <v>232</v>
      </c>
      <c r="H407" s="28" t="s">
        <v>233</v>
      </c>
    </row>
    <row r="408" customFormat="false" ht="31.5" hidden="true" customHeight="true" outlineLevel="0" collapsed="false">
      <c r="A408" s="98" t="s">
        <v>169</v>
      </c>
      <c r="B408" s="98" t="s">
        <v>251</v>
      </c>
      <c r="C408" s="28" t="s">
        <v>227</v>
      </c>
      <c r="D408" s="30" t="n">
        <v>56140000</v>
      </c>
      <c r="E408" s="28" t="n">
        <v>2024</v>
      </c>
      <c r="F408" s="98" t="s">
        <v>228</v>
      </c>
      <c r="G408" s="28" t="s">
        <v>229</v>
      </c>
      <c r="H408" s="28" t="s">
        <v>235</v>
      </c>
    </row>
    <row r="409" customFormat="false" ht="42" hidden="true" customHeight="true" outlineLevel="0" collapsed="false">
      <c r="A409" s="98" t="s">
        <v>169</v>
      </c>
      <c r="B409" s="98" t="s">
        <v>252</v>
      </c>
      <c r="C409" s="28" t="s">
        <v>227</v>
      </c>
      <c r="D409" s="30" t="n">
        <v>144370000</v>
      </c>
      <c r="E409" s="28" t="n">
        <v>2022</v>
      </c>
      <c r="F409" s="98" t="s">
        <v>228</v>
      </c>
      <c r="G409" s="28" t="s">
        <v>232</v>
      </c>
      <c r="H409" s="28" t="s">
        <v>233</v>
      </c>
    </row>
    <row r="410" customFormat="false" ht="27.75" hidden="true" customHeight="true" outlineLevel="0" collapsed="false">
      <c r="A410" s="98" t="s">
        <v>169</v>
      </c>
      <c r="B410" s="98" t="s">
        <v>237</v>
      </c>
      <c r="C410" s="28" t="s">
        <v>238</v>
      </c>
      <c r="D410" s="30" t="n">
        <v>19110000</v>
      </c>
      <c r="E410" s="28" t="n">
        <v>2025</v>
      </c>
      <c r="F410" s="98" t="s">
        <v>239</v>
      </c>
      <c r="G410" s="28" t="s">
        <v>229</v>
      </c>
      <c r="H410" s="28" t="s">
        <v>243</v>
      </c>
    </row>
    <row r="411" customFormat="false" ht="27.75" hidden="true" customHeight="true" outlineLevel="0" collapsed="false">
      <c r="A411" s="98" t="s">
        <v>169</v>
      </c>
      <c r="B411" s="98" t="s">
        <v>241</v>
      </c>
      <c r="C411" s="28" t="s">
        <v>238</v>
      </c>
      <c r="D411" s="30" t="n">
        <v>14670000</v>
      </c>
      <c r="E411" s="28" t="n">
        <v>2024</v>
      </c>
      <c r="F411" s="98" t="s">
        <v>239</v>
      </c>
      <c r="G411" s="28" t="s">
        <v>229</v>
      </c>
      <c r="H411" s="28" t="s">
        <v>243</v>
      </c>
    </row>
    <row r="412" customFormat="false" ht="27.75" hidden="true" customHeight="true" outlineLevel="0" collapsed="false">
      <c r="A412" s="98" t="s">
        <v>169</v>
      </c>
      <c r="B412" s="98" t="s">
        <v>242</v>
      </c>
      <c r="C412" s="28" t="s">
        <v>238</v>
      </c>
      <c r="D412" s="30" t="n">
        <v>23600000</v>
      </c>
      <c r="E412" s="28" t="n">
        <v>2025</v>
      </c>
      <c r="F412" s="98" t="s">
        <v>239</v>
      </c>
      <c r="G412" s="28" t="s">
        <v>229</v>
      </c>
      <c r="H412" s="28" t="s">
        <v>243</v>
      </c>
    </row>
    <row r="413" customFormat="false" ht="75.75" hidden="true" customHeight="true" outlineLevel="0" collapsed="false">
      <c r="A413" s="98"/>
      <c r="B413" s="98"/>
      <c r="C413" s="28"/>
      <c r="D413" s="30"/>
      <c r="E413" s="28"/>
      <c r="F413" s="98"/>
      <c r="G413" s="28"/>
      <c r="H413" s="28"/>
    </row>
    <row r="414" customFormat="false" ht="60" hidden="true" customHeight="true" outlineLevel="0" collapsed="false">
      <c r="A414" s="98"/>
      <c r="B414" s="98"/>
      <c r="C414" s="28"/>
      <c r="D414" s="30"/>
      <c r="E414" s="28"/>
      <c r="F414" s="98"/>
      <c r="G414" s="28"/>
      <c r="H414" s="28"/>
    </row>
    <row r="415" customFormat="false" ht="66.75" hidden="true" customHeight="true" outlineLevel="0" collapsed="false">
      <c r="A415" s="98"/>
      <c r="B415" s="98"/>
      <c r="C415" s="28"/>
      <c r="D415" s="30"/>
      <c r="E415" s="28"/>
      <c r="F415" s="98"/>
      <c r="G415" s="28"/>
      <c r="H415" s="28"/>
    </row>
    <row r="416" customFormat="false" ht="45.75" hidden="true" customHeight="true" outlineLevel="0" collapsed="false">
      <c r="A416" s="98"/>
      <c r="B416" s="98"/>
      <c r="C416" s="28"/>
      <c r="D416" s="30"/>
      <c r="E416" s="28"/>
      <c r="F416" s="98"/>
      <c r="G416" s="28"/>
      <c r="H416" s="28"/>
    </row>
    <row r="417" customFormat="false" ht="27.75" hidden="true" customHeight="true" outlineLevel="0" collapsed="false">
      <c r="A417" s="98"/>
      <c r="B417" s="98"/>
      <c r="C417" s="28"/>
      <c r="D417" s="30"/>
      <c r="E417" s="28"/>
      <c r="F417" s="98"/>
      <c r="G417" s="28"/>
      <c r="H417" s="28"/>
    </row>
    <row r="418" customFormat="false" ht="42" hidden="true" customHeight="true" outlineLevel="0" collapsed="false">
      <c r="A418" s="98"/>
      <c r="B418" s="98"/>
      <c r="C418" s="28"/>
      <c r="D418" s="30"/>
      <c r="E418" s="28"/>
      <c r="F418" s="98"/>
      <c r="G418" s="28"/>
      <c r="H418" s="28"/>
    </row>
    <row r="419" customFormat="false" ht="27.75" hidden="true" customHeight="true" outlineLevel="0" collapsed="false">
      <c r="A419" s="98"/>
      <c r="B419" s="98"/>
      <c r="C419" s="28"/>
      <c r="D419" s="30"/>
      <c r="E419" s="28"/>
      <c r="F419" s="98"/>
      <c r="G419" s="28"/>
      <c r="H419" s="28"/>
    </row>
    <row r="420" customFormat="false" ht="42" hidden="true" customHeight="true" outlineLevel="0" collapsed="false">
      <c r="A420" s="98"/>
      <c r="B420" s="98"/>
      <c r="C420" s="28"/>
      <c r="D420" s="30"/>
      <c r="E420" s="28"/>
      <c r="F420" s="98"/>
      <c r="G420" s="28"/>
      <c r="H420" s="28"/>
    </row>
    <row r="421" customFormat="false" ht="42" hidden="true" customHeight="true" outlineLevel="0" collapsed="false">
      <c r="A421" s="98"/>
      <c r="B421" s="98"/>
      <c r="C421" s="28"/>
      <c r="D421" s="30"/>
      <c r="E421" s="28"/>
      <c r="F421" s="98"/>
      <c r="G421" s="28"/>
      <c r="H421" s="28"/>
    </row>
    <row r="422" customFormat="false" ht="27.75" hidden="true" customHeight="true" outlineLevel="0" collapsed="false">
      <c r="A422" s="98"/>
      <c r="B422" s="98"/>
      <c r="C422" s="28"/>
      <c r="D422" s="30"/>
      <c r="E422" s="28"/>
      <c r="F422" s="98"/>
      <c r="G422" s="28"/>
      <c r="H422" s="28"/>
    </row>
    <row r="423" customFormat="false" ht="27.75" hidden="true" customHeight="true" outlineLevel="0" collapsed="false">
      <c r="A423" s="98"/>
      <c r="B423" s="98"/>
      <c r="C423" s="28"/>
      <c r="D423" s="30"/>
      <c r="E423" s="28"/>
      <c r="F423" s="98"/>
      <c r="G423" s="28"/>
      <c r="H423" s="28"/>
    </row>
    <row r="424" customFormat="false" ht="27.75" hidden="true" customHeight="true" outlineLevel="0" collapsed="false">
      <c r="A424" s="98"/>
      <c r="B424" s="98"/>
      <c r="C424" s="28"/>
      <c r="D424" s="30"/>
      <c r="E424" s="28"/>
      <c r="F424" s="98"/>
      <c r="G424" s="28"/>
      <c r="H424" s="28"/>
    </row>
    <row r="425" customFormat="false" ht="27.75" hidden="true" customHeight="true" outlineLevel="0" collapsed="false">
      <c r="A425" s="98"/>
      <c r="B425" s="98"/>
      <c r="C425" s="28"/>
      <c r="D425" s="30"/>
      <c r="E425" s="28"/>
      <c r="F425" s="98"/>
      <c r="G425" s="28"/>
      <c r="H425" s="28"/>
    </row>
    <row r="426" customFormat="false" ht="42" hidden="true" customHeight="true" outlineLevel="0" collapsed="false">
      <c r="A426" s="98"/>
      <c r="B426" s="98"/>
      <c r="C426" s="28"/>
      <c r="D426" s="30"/>
      <c r="E426" s="28"/>
      <c r="F426" s="98"/>
      <c r="G426" s="28"/>
      <c r="H426" s="28"/>
    </row>
    <row r="427" customFormat="false" ht="27.75" hidden="true" customHeight="true" outlineLevel="0" collapsed="false">
      <c r="A427" s="98"/>
      <c r="B427" s="98"/>
      <c r="C427" s="28"/>
      <c r="D427" s="30"/>
      <c r="E427" s="28"/>
      <c r="F427" s="98"/>
      <c r="G427" s="28"/>
      <c r="H427" s="28"/>
    </row>
    <row r="428" customFormat="false" ht="27.75" hidden="true" customHeight="true" outlineLevel="0" collapsed="false">
      <c r="A428" s="98"/>
      <c r="B428" s="98"/>
      <c r="C428" s="28"/>
      <c r="D428" s="30"/>
      <c r="E428" s="28"/>
      <c r="F428" s="98"/>
      <c r="G428" s="28"/>
      <c r="H428" s="28"/>
    </row>
    <row r="429" customFormat="false" ht="27.75" hidden="true" customHeight="true" outlineLevel="0" collapsed="false">
      <c r="A429" s="98"/>
      <c r="B429" s="98"/>
      <c r="C429" s="28"/>
      <c r="D429" s="30"/>
      <c r="E429" s="28"/>
      <c r="F429" s="98"/>
      <c r="G429" s="28"/>
      <c r="H429" s="28"/>
    </row>
    <row r="430" customFormat="false" ht="27.75" hidden="true" customHeight="true" outlineLevel="0" collapsed="false">
      <c r="A430" s="98"/>
      <c r="B430" s="98"/>
      <c r="C430" s="28"/>
      <c r="D430" s="30"/>
      <c r="E430" s="28"/>
      <c r="F430" s="98"/>
      <c r="G430" s="28"/>
      <c r="H430" s="28"/>
    </row>
    <row r="431" customFormat="false" ht="27.75" hidden="true" customHeight="true" outlineLevel="0" collapsed="false">
      <c r="A431" s="98"/>
      <c r="B431" s="98"/>
      <c r="C431" s="28"/>
      <c r="D431" s="30"/>
      <c r="E431" s="28"/>
      <c r="F431" s="98"/>
      <c r="G431" s="28"/>
      <c r="H431" s="28"/>
    </row>
    <row r="432" customFormat="false" ht="42" hidden="true" customHeight="true" outlineLevel="0" collapsed="false">
      <c r="A432" s="98"/>
      <c r="B432" s="98"/>
      <c r="C432" s="28"/>
      <c r="D432" s="30"/>
      <c r="E432" s="28"/>
      <c r="F432" s="98"/>
      <c r="G432" s="28"/>
      <c r="H432" s="28"/>
    </row>
    <row r="433" customFormat="false" ht="27.75" hidden="true" customHeight="true" outlineLevel="0" collapsed="false">
      <c r="A433" s="98"/>
      <c r="B433" s="98"/>
      <c r="C433" s="28"/>
      <c r="D433" s="30"/>
      <c r="E433" s="28"/>
      <c r="F433" s="98"/>
      <c r="G433" s="28"/>
      <c r="H433" s="28"/>
    </row>
    <row r="434" customFormat="false" ht="23.25" hidden="true" customHeight="true" outlineLevel="0" collapsed="false">
      <c r="A434" s="98"/>
      <c r="B434" s="98"/>
      <c r="C434" s="28"/>
      <c r="D434" s="30"/>
      <c r="E434" s="28"/>
      <c r="F434" s="98"/>
      <c r="G434" s="28"/>
      <c r="H434" s="28"/>
    </row>
    <row r="435" customFormat="false" ht="55.5" hidden="true" customHeight="true" outlineLevel="0" collapsed="false">
      <c r="A435" s="98"/>
      <c r="B435" s="98"/>
      <c r="C435" s="28"/>
      <c r="D435" s="30"/>
      <c r="E435" s="28"/>
      <c r="F435" s="98"/>
      <c r="G435" s="28"/>
      <c r="H435" s="28"/>
    </row>
    <row r="436" customFormat="false" ht="27.75" hidden="true" customHeight="true" outlineLevel="0" collapsed="false">
      <c r="A436" s="98"/>
      <c r="B436" s="98"/>
      <c r="C436" s="28"/>
      <c r="D436" s="30"/>
      <c r="E436" s="28"/>
      <c r="F436" s="98"/>
      <c r="G436" s="28"/>
      <c r="H436" s="28"/>
    </row>
    <row r="437" customFormat="false" ht="27.75" hidden="true" customHeight="true" outlineLevel="0" collapsed="false">
      <c r="A437" s="98"/>
      <c r="B437" s="98"/>
      <c r="C437" s="28"/>
      <c r="D437" s="30"/>
      <c r="E437" s="28"/>
      <c r="F437" s="98"/>
      <c r="G437" s="28"/>
      <c r="H437" s="28"/>
    </row>
    <row r="438" customFormat="false" ht="27.75" hidden="true" customHeight="true" outlineLevel="0" collapsed="false">
      <c r="A438" s="98"/>
      <c r="B438" s="98"/>
      <c r="C438" s="28"/>
      <c r="D438" s="30"/>
      <c r="E438" s="28"/>
      <c r="F438" s="98"/>
      <c r="G438" s="28"/>
      <c r="H438" s="28"/>
    </row>
    <row r="439" customFormat="false" ht="42" hidden="true" customHeight="true" outlineLevel="0" collapsed="false">
      <c r="A439" s="98"/>
      <c r="B439" s="98"/>
      <c r="C439" s="28"/>
      <c r="D439" s="30"/>
      <c r="E439" s="28"/>
      <c r="F439" s="98"/>
      <c r="G439" s="28"/>
      <c r="H439" s="28"/>
    </row>
    <row r="440" customFormat="false" ht="39" hidden="true" customHeight="true" outlineLevel="0" collapsed="false">
      <c r="A440" s="98"/>
      <c r="B440" s="98"/>
      <c r="C440" s="28"/>
      <c r="D440" s="30"/>
      <c r="E440" s="28"/>
      <c r="F440" s="98"/>
      <c r="G440" s="28"/>
      <c r="H440" s="28"/>
    </row>
    <row r="441" customFormat="false" ht="27.75" hidden="true" customHeight="true" outlineLevel="0" collapsed="false">
      <c r="A441" s="98"/>
      <c r="B441" s="98"/>
      <c r="C441" s="28"/>
      <c r="D441" s="30"/>
      <c r="E441" s="28"/>
      <c r="F441" s="98"/>
      <c r="G441" s="28"/>
      <c r="H441" s="28"/>
    </row>
    <row r="442" customFormat="false" ht="55.5" hidden="true" customHeight="true" outlineLevel="0" collapsed="false">
      <c r="A442" s="98"/>
      <c r="B442" s="98"/>
      <c r="C442" s="28"/>
      <c r="D442" s="30"/>
      <c r="E442" s="28"/>
      <c r="F442" s="98"/>
      <c r="G442" s="28"/>
      <c r="H442" s="28"/>
    </row>
    <row r="443" customFormat="false" ht="42" hidden="true" customHeight="true" outlineLevel="0" collapsed="false">
      <c r="A443" s="98"/>
      <c r="B443" s="98"/>
      <c r="C443" s="28"/>
      <c r="D443" s="30"/>
      <c r="E443" s="28"/>
      <c r="F443" s="98"/>
      <c r="G443" s="28"/>
      <c r="H443" s="28"/>
    </row>
    <row r="444" customFormat="false" ht="27.75" hidden="true" customHeight="true" outlineLevel="0" collapsed="false">
      <c r="A444" s="98"/>
      <c r="B444" s="98"/>
      <c r="C444" s="28"/>
      <c r="D444" s="30"/>
      <c r="E444" s="28"/>
      <c r="F444" s="98"/>
      <c r="G444" s="28"/>
      <c r="H444" s="28"/>
    </row>
    <row r="445" customFormat="false" ht="27.75" hidden="true" customHeight="true" outlineLevel="0" collapsed="false">
      <c r="A445" s="98"/>
      <c r="B445" s="98"/>
      <c r="C445" s="28"/>
      <c r="D445" s="30"/>
      <c r="E445" s="28"/>
      <c r="F445" s="98"/>
      <c r="G445" s="28"/>
      <c r="H445" s="28"/>
    </row>
    <row r="446" customFormat="false" ht="60" hidden="true" customHeight="true" outlineLevel="0" collapsed="false">
      <c r="A446" s="98"/>
      <c r="B446" s="98"/>
      <c r="C446" s="28"/>
      <c r="D446" s="30"/>
      <c r="E446" s="28"/>
      <c r="F446" s="98"/>
      <c r="G446" s="28"/>
      <c r="H446" s="28"/>
    </row>
    <row r="447" customFormat="false" ht="27.75" hidden="true" customHeight="true" outlineLevel="0" collapsed="false">
      <c r="A447" s="98"/>
      <c r="B447" s="98"/>
      <c r="C447" s="28"/>
      <c r="D447" s="30"/>
      <c r="E447" s="28"/>
      <c r="F447" s="98"/>
      <c r="G447" s="28"/>
      <c r="H447" s="28"/>
    </row>
    <row r="448" customFormat="false" ht="27.75" hidden="true" customHeight="true" outlineLevel="0" collapsed="false">
      <c r="A448" s="98"/>
      <c r="B448" s="98"/>
      <c r="C448" s="28"/>
      <c r="D448" s="30"/>
      <c r="E448" s="28"/>
      <c r="F448" s="98"/>
      <c r="G448" s="28"/>
      <c r="H448" s="28"/>
    </row>
    <row r="449" customFormat="false" ht="67.5" hidden="true" customHeight="true" outlineLevel="0" collapsed="false">
      <c r="A449" s="98"/>
      <c r="B449" s="98"/>
      <c r="C449" s="28"/>
      <c r="D449" s="30"/>
      <c r="E449" s="28"/>
      <c r="F449" s="98"/>
      <c r="G449" s="28"/>
      <c r="H449" s="28"/>
    </row>
    <row r="450" customFormat="false" ht="69.75" hidden="true" customHeight="true" outlineLevel="0" collapsed="false">
      <c r="A450" s="98"/>
      <c r="B450" s="98"/>
      <c r="C450" s="28"/>
      <c r="D450" s="30"/>
      <c r="E450" s="28"/>
      <c r="F450" s="98"/>
      <c r="G450" s="28"/>
      <c r="H450" s="28"/>
    </row>
    <row r="451" customFormat="false" ht="42" hidden="true" customHeight="true" outlineLevel="0" collapsed="false">
      <c r="A451" s="98"/>
      <c r="B451" s="98"/>
      <c r="C451" s="28"/>
      <c r="D451" s="30"/>
      <c r="E451" s="28"/>
      <c r="F451" s="98"/>
      <c r="G451" s="28"/>
      <c r="H451" s="28"/>
    </row>
    <row r="452" customFormat="false" ht="27.75" hidden="true" customHeight="true" outlineLevel="0" collapsed="false">
      <c r="A452" s="98"/>
      <c r="B452" s="98"/>
      <c r="C452" s="28"/>
      <c r="D452" s="30"/>
      <c r="E452" s="28"/>
      <c r="F452" s="98"/>
      <c r="G452" s="28"/>
      <c r="H452" s="28"/>
    </row>
    <row r="453" customFormat="false" ht="27.75" hidden="true" customHeight="true" outlineLevel="0" collapsed="false">
      <c r="A453" s="98"/>
      <c r="B453" s="98"/>
      <c r="C453" s="28"/>
      <c r="D453" s="30"/>
      <c r="E453" s="28"/>
      <c r="F453" s="98"/>
      <c r="G453" s="28"/>
      <c r="H453" s="28"/>
    </row>
    <row r="454" customFormat="false" ht="27.75" hidden="true" customHeight="true" outlineLevel="0" collapsed="false">
      <c r="A454" s="98"/>
      <c r="B454" s="98"/>
      <c r="C454" s="28"/>
      <c r="D454" s="30"/>
      <c r="E454" s="28"/>
      <c r="F454" s="98"/>
      <c r="G454" s="28"/>
      <c r="H454" s="28"/>
    </row>
    <row r="455" customFormat="false" ht="27.75" hidden="true" customHeight="true" outlineLevel="0" collapsed="false">
      <c r="A455" s="98"/>
      <c r="B455" s="98"/>
      <c r="C455" s="28"/>
      <c r="D455" s="30"/>
      <c r="E455" s="28"/>
      <c r="F455" s="98"/>
      <c r="G455" s="28"/>
      <c r="H455" s="28"/>
    </row>
    <row r="456" customFormat="false" ht="49.5" hidden="true" customHeight="true" outlineLevel="0" collapsed="false">
      <c r="A456" s="98"/>
      <c r="B456" s="98"/>
      <c r="C456" s="28"/>
      <c r="D456" s="30"/>
      <c r="E456" s="28"/>
      <c r="F456" s="98"/>
      <c r="G456" s="28"/>
      <c r="H456" s="28"/>
    </row>
    <row r="457" customFormat="false" ht="42" hidden="true" customHeight="true" outlineLevel="0" collapsed="false">
      <c r="A457" s="98"/>
      <c r="B457" s="98"/>
      <c r="C457" s="28"/>
      <c r="D457" s="30"/>
      <c r="E457" s="28"/>
      <c r="F457" s="98"/>
      <c r="G457" s="28"/>
      <c r="H457" s="28"/>
    </row>
    <row r="458" customFormat="false" ht="27.75" hidden="true" customHeight="true" outlineLevel="0" collapsed="false">
      <c r="A458" s="98"/>
      <c r="B458" s="98"/>
      <c r="C458" s="28"/>
      <c r="D458" s="30"/>
      <c r="E458" s="28"/>
      <c r="F458" s="98"/>
      <c r="G458" s="28"/>
      <c r="H458" s="28"/>
    </row>
    <row r="459" customFormat="false" ht="27.75" hidden="true" customHeight="true" outlineLevel="0" collapsed="false">
      <c r="A459" s="98"/>
      <c r="B459" s="98"/>
      <c r="C459" s="28"/>
      <c r="D459" s="30"/>
      <c r="E459" s="28"/>
      <c r="F459" s="98"/>
      <c r="G459" s="28"/>
      <c r="H459" s="28"/>
    </row>
    <row r="460" customFormat="false" ht="27.75" hidden="true" customHeight="true" outlineLevel="0" collapsed="false">
      <c r="A460" s="98"/>
      <c r="B460" s="98"/>
      <c r="C460" s="28"/>
      <c r="D460" s="30"/>
      <c r="E460" s="28"/>
      <c r="F460" s="98"/>
      <c r="G460" s="28"/>
      <c r="H460" s="28"/>
    </row>
    <row r="461" customFormat="false" ht="23.25" hidden="true" customHeight="true" outlineLevel="0" collapsed="false">
      <c r="A461" s="98"/>
      <c r="B461" s="98"/>
      <c r="C461" s="28"/>
      <c r="D461" s="30"/>
      <c r="E461" s="28"/>
      <c r="F461" s="98"/>
      <c r="G461" s="28"/>
      <c r="H461" s="28"/>
    </row>
    <row r="462" customFormat="false" ht="39.75" hidden="true" customHeight="true" outlineLevel="0" collapsed="false">
      <c r="A462" s="98"/>
      <c r="B462" s="98"/>
      <c r="C462" s="28"/>
      <c r="D462" s="30"/>
      <c r="E462" s="28"/>
      <c r="F462" s="98"/>
      <c r="G462" s="28"/>
      <c r="H462" s="28"/>
    </row>
    <row r="463" customFormat="false" ht="37.5" hidden="true" customHeight="true" outlineLevel="0" collapsed="false">
      <c r="A463" s="98"/>
      <c r="B463" s="98"/>
      <c r="C463" s="28"/>
      <c r="D463" s="30"/>
      <c r="E463" s="28"/>
      <c r="F463" s="98"/>
      <c r="G463" s="28"/>
      <c r="H463" s="28"/>
    </row>
    <row r="464" customFormat="false" ht="66.75" hidden="true" customHeight="true" outlineLevel="0" collapsed="false">
      <c r="A464" s="98"/>
      <c r="B464" s="98"/>
      <c r="C464" s="28"/>
      <c r="D464" s="30"/>
      <c r="E464" s="28"/>
      <c r="F464" s="98"/>
      <c r="G464" s="28"/>
      <c r="H464" s="28"/>
    </row>
    <row r="465" customFormat="false" ht="27.75" hidden="true" customHeight="true" outlineLevel="0" collapsed="false">
      <c r="A465" s="98"/>
      <c r="B465" s="98"/>
      <c r="C465" s="28"/>
      <c r="D465" s="30"/>
      <c r="E465" s="28"/>
      <c r="F465" s="98"/>
      <c r="G465" s="28"/>
      <c r="H465" s="28"/>
    </row>
    <row r="466" customFormat="false" ht="27.75" hidden="true" customHeight="true" outlineLevel="0" collapsed="false">
      <c r="A466" s="98"/>
      <c r="B466" s="98"/>
      <c r="C466" s="28"/>
      <c r="D466" s="30"/>
      <c r="E466" s="28"/>
      <c r="F466" s="98"/>
      <c r="G466" s="28"/>
      <c r="H466" s="28"/>
    </row>
    <row r="467" customFormat="false" ht="42" hidden="true" customHeight="true" outlineLevel="0" collapsed="false">
      <c r="A467" s="98"/>
      <c r="B467" s="98"/>
      <c r="C467" s="28"/>
      <c r="D467" s="30"/>
      <c r="E467" s="28"/>
      <c r="F467" s="98"/>
      <c r="G467" s="28"/>
      <c r="H467" s="28"/>
    </row>
    <row r="468" customFormat="false" ht="27.75" hidden="true" customHeight="true" outlineLevel="0" collapsed="false">
      <c r="A468" s="98"/>
      <c r="B468" s="98"/>
      <c r="C468" s="28"/>
      <c r="D468" s="30"/>
      <c r="E468" s="28"/>
      <c r="F468" s="98"/>
      <c r="G468" s="28"/>
      <c r="H468" s="28"/>
    </row>
    <row r="469" customFormat="false" ht="23.25" hidden="true" customHeight="true" outlineLevel="0" collapsed="false">
      <c r="A469" s="98"/>
      <c r="B469" s="98"/>
      <c r="C469" s="28"/>
      <c r="D469" s="30"/>
      <c r="E469" s="28"/>
      <c r="F469" s="98"/>
      <c r="G469" s="28"/>
      <c r="H469" s="28"/>
    </row>
    <row r="470" customFormat="false" ht="27.75" hidden="true" customHeight="true" outlineLevel="0" collapsed="false">
      <c r="A470" s="98"/>
      <c r="B470" s="98"/>
      <c r="C470" s="28"/>
      <c r="D470" s="30"/>
      <c r="E470" s="28"/>
      <c r="F470" s="98"/>
      <c r="G470" s="28"/>
      <c r="H470" s="28"/>
    </row>
    <row r="471" customFormat="false" ht="66" hidden="true" customHeight="true" outlineLevel="0" collapsed="false">
      <c r="A471" s="98"/>
      <c r="B471" s="98"/>
      <c r="C471" s="28"/>
      <c r="D471" s="30"/>
      <c r="E471" s="28"/>
      <c r="F471" s="98"/>
      <c r="G471" s="28"/>
      <c r="H471" s="28"/>
    </row>
    <row r="472" customFormat="false" ht="27.75" hidden="true" customHeight="true" outlineLevel="0" collapsed="false">
      <c r="A472" s="98"/>
      <c r="B472" s="98"/>
      <c r="C472" s="28"/>
      <c r="D472" s="30"/>
      <c r="E472" s="28"/>
      <c r="F472" s="98"/>
      <c r="G472" s="28"/>
      <c r="H472" s="28"/>
    </row>
    <row r="473" customFormat="false" ht="27.75" hidden="true" customHeight="true" outlineLevel="0" collapsed="false">
      <c r="A473" s="98"/>
      <c r="B473" s="98"/>
      <c r="C473" s="28"/>
      <c r="D473" s="30"/>
      <c r="E473" s="28"/>
      <c r="F473" s="98"/>
      <c r="G473" s="28"/>
      <c r="H473" s="28"/>
    </row>
    <row r="474" customFormat="false" ht="27.75" hidden="true" customHeight="true" outlineLevel="0" collapsed="false">
      <c r="A474" s="98"/>
      <c r="B474" s="98"/>
      <c r="C474" s="28"/>
      <c r="D474" s="30"/>
      <c r="E474" s="28"/>
      <c r="F474" s="98"/>
      <c r="G474" s="28"/>
      <c r="H474" s="28"/>
    </row>
    <row r="475" customFormat="false" ht="27.75" hidden="true" customHeight="true" outlineLevel="0" collapsed="false">
      <c r="A475" s="98"/>
      <c r="B475" s="98"/>
      <c r="C475" s="28"/>
      <c r="D475" s="30"/>
      <c r="E475" s="28"/>
      <c r="F475" s="98"/>
      <c r="G475" s="28"/>
      <c r="H475" s="28"/>
    </row>
    <row r="476" customFormat="false" ht="27.75" hidden="true" customHeight="true" outlineLevel="0" collapsed="false">
      <c r="A476" s="98"/>
      <c r="B476" s="98"/>
      <c r="C476" s="28"/>
      <c r="D476" s="30"/>
      <c r="E476" s="28"/>
      <c r="F476" s="98"/>
      <c r="G476" s="28"/>
      <c r="H476" s="28"/>
    </row>
    <row r="477" customFormat="false" ht="27.75" hidden="true" customHeight="true" outlineLevel="0" collapsed="false">
      <c r="A477" s="98"/>
      <c r="B477" s="98"/>
      <c r="C477" s="28"/>
      <c r="D477" s="30"/>
      <c r="E477" s="28"/>
      <c r="F477" s="98"/>
      <c r="G477" s="28"/>
      <c r="H477" s="28"/>
    </row>
    <row r="478" customFormat="false" ht="27.75" hidden="true" customHeight="true" outlineLevel="0" collapsed="false">
      <c r="A478" s="98"/>
      <c r="B478" s="98"/>
      <c r="C478" s="28"/>
      <c r="D478" s="30"/>
      <c r="E478" s="28"/>
      <c r="F478" s="98"/>
      <c r="G478" s="28"/>
      <c r="H478" s="28"/>
    </row>
    <row r="479" customFormat="false" ht="27.75" hidden="true" customHeight="true" outlineLevel="0" collapsed="false">
      <c r="A479" s="98"/>
      <c r="B479" s="98"/>
      <c r="C479" s="28"/>
      <c r="D479" s="30"/>
      <c r="E479" s="28"/>
      <c r="F479" s="98"/>
      <c r="G479" s="28"/>
      <c r="H479" s="28"/>
    </row>
    <row r="480" customFormat="false" ht="23.25" hidden="true" customHeight="true" outlineLevel="0" collapsed="false">
      <c r="A480" s="98"/>
      <c r="B480" s="98"/>
      <c r="C480" s="28"/>
      <c r="D480" s="30"/>
      <c r="E480" s="28"/>
      <c r="F480" s="98"/>
      <c r="G480" s="28"/>
      <c r="H480" s="28"/>
    </row>
    <row r="481" customFormat="false" ht="27.75" hidden="true" customHeight="true" outlineLevel="0" collapsed="false">
      <c r="A481" s="98"/>
      <c r="B481" s="98"/>
      <c r="C481" s="28"/>
      <c r="D481" s="30"/>
      <c r="E481" s="28"/>
      <c r="F481" s="98"/>
      <c r="G481" s="28"/>
      <c r="H481" s="28"/>
    </row>
    <row r="482" customFormat="false" ht="27.75" hidden="true" customHeight="true" outlineLevel="0" collapsed="false">
      <c r="A482" s="98"/>
      <c r="B482" s="98"/>
      <c r="C482" s="28"/>
      <c r="D482" s="30"/>
      <c r="E482" s="28"/>
      <c r="F482" s="98"/>
      <c r="G482" s="28"/>
      <c r="H482" s="28"/>
    </row>
    <row r="483" customFormat="false" ht="27.75" hidden="true" customHeight="true" outlineLevel="0" collapsed="false">
      <c r="A483" s="98"/>
      <c r="B483" s="98"/>
      <c r="C483" s="28"/>
      <c r="D483" s="30"/>
      <c r="E483" s="28"/>
      <c r="F483" s="98"/>
      <c r="G483" s="28"/>
      <c r="H483" s="28"/>
    </row>
    <row r="484" customFormat="false" ht="27.75" hidden="true" customHeight="true" outlineLevel="0" collapsed="false">
      <c r="A484" s="98"/>
      <c r="B484" s="98"/>
      <c r="C484" s="28"/>
      <c r="D484" s="30"/>
      <c r="E484" s="28"/>
      <c r="F484" s="98"/>
      <c r="G484" s="28"/>
      <c r="H484" s="28"/>
    </row>
    <row r="485" customFormat="false" ht="23.25" hidden="true" customHeight="true" outlineLevel="0" collapsed="false">
      <c r="A485" s="98"/>
      <c r="B485" s="98"/>
      <c r="C485" s="28"/>
      <c r="D485" s="30"/>
      <c r="E485" s="28"/>
      <c r="F485" s="98"/>
      <c r="G485" s="28"/>
      <c r="H485" s="28"/>
    </row>
    <row r="486" customFormat="false" ht="42" hidden="true" customHeight="true" outlineLevel="0" collapsed="false">
      <c r="A486" s="98"/>
      <c r="B486" s="98"/>
      <c r="C486" s="28"/>
      <c r="D486" s="30"/>
      <c r="E486" s="28"/>
      <c r="F486" s="98"/>
      <c r="G486" s="28"/>
      <c r="H486" s="28"/>
    </row>
    <row r="487" customFormat="false" ht="27.75" hidden="true" customHeight="true" outlineLevel="0" collapsed="false">
      <c r="A487" s="98"/>
      <c r="B487" s="98"/>
      <c r="C487" s="28"/>
      <c r="D487" s="30"/>
      <c r="E487" s="28"/>
      <c r="F487" s="98"/>
      <c r="G487" s="28"/>
      <c r="H487" s="28"/>
    </row>
    <row r="488" customFormat="false" ht="55.5" hidden="true" customHeight="true" outlineLevel="0" collapsed="false">
      <c r="A488" s="98"/>
      <c r="B488" s="98"/>
      <c r="C488" s="28"/>
      <c r="D488" s="30"/>
      <c r="E488" s="28"/>
      <c r="F488" s="98"/>
      <c r="G488" s="28"/>
      <c r="H488" s="28"/>
    </row>
    <row r="489" customFormat="false" ht="69.75" hidden="true" customHeight="true" outlineLevel="0" collapsed="false">
      <c r="A489" s="98"/>
      <c r="B489" s="98"/>
      <c r="C489" s="28"/>
      <c r="D489" s="30"/>
      <c r="E489" s="28"/>
      <c r="F489" s="98"/>
      <c r="G489" s="28"/>
      <c r="H489" s="28"/>
    </row>
    <row r="490" customFormat="false" ht="27.75" hidden="true" customHeight="true" outlineLevel="0" collapsed="false">
      <c r="A490" s="98"/>
      <c r="B490" s="98"/>
      <c r="C490" s="28"/>
      <c r="D490" s="30"/>
      <c r="E490" s="28"/>
      <c r="F490" s="98"/>
      <c r="G490" s="28"/>
      <c r="H490" s="28"/>
    </row>
    <row r="491" customFormat="false" ht="27.75" hidden="true" customHeight="true" outlineLevel="0" collapsed="false">
      <c r="A491" s="98"/>
      <c r="B491" s="98"/>
      <c r="C491" s="28"/>
      <c r="D491" s="30"/>
      <c r="E491" s="28"/>
      <c r="F491" s="98"/>
      <c r="G491" s="28"/>
      <c r="H491" s="28"/>
    </row>
    <row r="492" customFormat="false" ht="27.75" hidden="true" customHeight="true" outlineLevel="0" collapsed="false">
      <c r="A492" s="98"/>
      <c r="B492" s="98"/>
      <c r="C492" s="28"/>
      <c r="D492" s="30"/>
      <c r="E492" s="28"/>
      <c r="F492" s="98"/>
      <c r="G492" s="28"/>
      <c r="H492" s="28"/>
    </row>
    <row r="493" customFormat="false" ht="42" hidden="true" customHeight="true" outlineLevel="0" collapsed="false">
      <c r="A493" s="98"/>
      <c r="B493" s="98"/>
      <c r="C493" s="28"/>
      <c r="D493" s="30"/>
      <c r="E493" s="28"/>
      <c r="F493" s="98"/>
      <c r="G493" s="28"/>
      <c r="H493" s="28"/>
    </row>
    <row r="494" customFormat="false" ht="42" hidden="true" customHeight="true" outlineLevel="0" collapsed="false">
      <c r="A494" s="98"/>
      <c r="B494" s="98"/>
      <c r="C494" s="28"/>
      <c r="D494" s="30"/>
      <c r="E494" s="28"/>
      <c r="F494" s="98"/>
      <c r="G494" s="28"/>
      <c r="H494" s="28"/>
    </row>
    <row r="495" customFormat="false" ht="27.75" hidden="true" customHeight="true" outlineLevel="0" collapsed="false">
      <c r="A495" s="98"/>
      <c r="B495" s="98"/>
      <c r="C495" s="28"/>
      <c r="D495" s="30"/>
      <c r="E495" s="28"/>
      <c r="F495" s="98"/>
      <c r="G495" s="28"/>
      <c r="H495" s="28"/>
    </row>
    <row r="496" customFormat="false" ht="27.75" hidden="true" customHeight="true" outlineLevel="0" collapsed="false">
      <c r="A496" s="98"/>
      <c r="B496" s="98"/>
      <c r="C496" s="28"/>
      <c r="D496" s="30"/>
      <c r="E496" s="28"/>
      <c r="F496" s="98"/>
      <c r="G496" s="28"/>
      <c r="H496" s="28"/>
    </row>
    <row r="497" customFormat="false" ht="42" hidden="true" customHeight="true" outlineLevel="0" collapsed="false">
      <c r="A497" s="98"/>
      <c r="B497" s="98"/>
      <c r="C497" s="28"/>
      <c r="D497" s="30"/>
      <c r="E497" s="28"/>
      <c r="F497" s="98"/>
      <c r="G497" s="28"/>
      <c r="H497" s="28"/>
    </row>
    <row r="498" customFormat="false" ht="27.75" hidden="true" customHeight="true" outlineLevel="0" collapsed="false">
      <c r="A498" s="98"/>
      <c r="B498" s="98"/>
      <c r="C498" s="28"/>
      <c r="D498" s="30"/>
      <c r="E498" s="28"/>
      <c r="F498" s="98"/>
      <c r="G498" s="28"/>
      <c r="H498" s="28"/>
    </row>
    <row r="499" customFormat="false" ht="42" hidden="true" customHeight="true" outlineLevel="0" collapsed="false">
      <c r="A499" s="98"/>
      <c r="B499" s="98"/>
      <c r="C499" s="28"/>
      <c r="D499" s="30"/>
      <c r="E499" s="28"/>
      <c r="F499" s="98"/>
      <c r="G499" s="28"/>
      <c r="H499" s="28"/>
    </row>
    <row r="500" customFormat="false" ht="72" hidden="true" customHeight="true" outlineLevel="0" collapsed="false">
      <c r="A500" s="98"/>
      <c r="B500" s="98"/>
      <c r="C500" s="28"/>
      <c r="D500" s="30"/>
      <c r="E500" s="28"/>
      <c r="F500" s="98"/>
      <c r="G500" s="28"/>
      <c r="H500" s="28"/>
    </row>
    <row r="501" customFormat="false" ht="27.75" hidden="true" customHeight="true" outlineLevel="0" collapsed="false">
      <c r="A501" s="98"/>
      <c r="B501" s="98"/>
      <c r="C501" s="28"/>
      <c r="D501" s="30"/>
      <c r="E501" s="28"/>
      <c r="F501" s="98"/>
      <c r="G501" s="28"/>
      <c r="H501" s="28"/>
    </row>
    <row r="502" customFormat="false" ht="55.5" hidden="true" customHeight="true" outlineLevel="0" collapsed="false">
      <c r="A502" s="98"/>
      <c r="B502" s="98"/>
      <c r="C502" s="28"/>
      <c r="D502" s="30"/>
      <c r="E502" s="28"/>
      <c r="F502" s="98"/>
      <c r="G502" s="28"/>
      <c r="H502" s="28"/>
    </row>
    <row r="503" customFormat="false" ht="39" hidden="true" customHeight="true" outlineLevel="0" collapsed="false">
      <c r="A503" s="98"/>
      <c r="B503" s="98"/>
      <c r="C503" s="28"/>
      <c r="D503" s="30"/>
      <c r="E503" s="28"/>
      <c r="F503" s="98"/>
      <c r="G503" s="28"/>
      <c r="H503" s="28"/>
    </row>
    <row r="504" customFormat="false" ht="27.75" hidden="true" customHeight="true" outlineLevel="0" collapsed="false">
      <c r="A504" s="98"/>
      <c r="B504" s="98"/>
      <c r="C504" s="28"/>
      <c r="D504" s="30"/>
      <c r="E504" s="28"/>
      <c r="F504" s="98"/>
      <c r="G504" s="28"/>
      <c r="H504" s="28"/>
    </row>
    <row r="505" customFormat="false" ht="27.75" hidden="true" customHeight="true" outlineLevel="0" collapsed="false">
      <c r="A505" s="98"/>
      <c r="B505" s="98"/>
      <c r="C505" s="28"/>
      <c r="D505" s="30"/>
      <c r="E505" s="28"/>
      <c r="F505" s="98"/>
      <c r="G505" s="28"/>
      <c r="H505" s="28"/>
    </row>
    <row r="506" customFormat="false" ht="42" hidden="true" customHeight="true" outlineLevel="0" collapsed="false">
      <c r="A506" s="98"/>
      <c r="B506" s="98"/>
      <c r="C506" s="28"/>
      <c r="D506" s="30"/>
      <c r="E506" s="28"/>
      <c r="F506" s="98"/>
      <c r="G506" s="28"/>
      <c r="H506" s="28"/>
    </row>
    <row r="507" customFormat="false" ht="73.5" hidden="true" customHeight="true" outlineLevel="0" collapsed="false">
      <c r="A507" s="98"/>
      <c r="B507" s="98"/>
      <c r="C507" s="28"/>
      <c r="D507" s="30"/>
      <c r="E507" s="28"/>
      <c r="F507" s="98"/>
      <c r="G507" s="28"/>
      <c r="H507" s="28"/>
    </row>
    <row r="508" customFormat="false" ht="27.75" hidden="true" customHeight="true" outlineLevel="0" collapsed="false">
      <c r="A508" s="98"/>
      <c r="B508" s="98"/>
      <c r="C508" s="28"/>
      <c r="D508" s="30"/>
      <c r="E508" s="28"/>
      <c r="F508" s="98"/>
      <c r="G508" s="28"/>
      <c r="H508" s="28"/>
    </row>
    <row r="509" customFormat="false" ht="42" hidden="true" customHeight="true" outlineLevel="0" collapsed="false">
      <c r="A509" s="98"/>
      <c r="B509" s="98"/>
      <c r="C509" s="28"/>
      <c r="D509" s="30"/>
      <c r="E509" s="28"/>
      <c r="F509" s="98"/>
      <c r="G509" s="28"/>
      <c r="H509" s="28"/>
    </row>
    <row r="510" customFormat="false" ht="27.75" hidden="true" customHeight="true" outlineLevel="0" collapsed="false">
      <c r="A510" s="98"/>
      <c r="B510" s="98"/>
      <c r="C510" s="28"/>
      <c r="D510" s="30"/>
      <c r="E510" s="28"/>
      <c r="F510" s="98"/>
      <c r="G510" s="28"/>
      <c r="H510" s="28"/>
    </row>
    <row r="511" customFormat="false" ht="27.75" hidden="true" customHeight="true" outlineLevel="0" collapsed="false">
      <c r="A511" s="98"/>
      <c r="B511" s="98"/>
      <c r="C511" s="28"/>
      <c r="D511" s="30"/>
      <c r="E511" s="28"/>
      <c r="F511" s="98"/>
      <c r="G511" s="28"/>
      <c r="H511" s="28"/>
    </row>
    <row r="512" customFormat="false" ht="27.75" hidden="true" customHeight="true" outlineLevel="0" collapsed="false">
      <c r="A512" s="98"/>
      <c r="B512" s="98"/>
      <c r="C512" s="28"/>
      <c r="D512" s="30"/>
      <c r="E512" s="28"/>
      <c r="F512" s="98"/>
      <c r="G512" s="28"/>
      <c r="H512" s="28"/>
    </row>
    <row r="513" customFormat="false" ht="27.75" hidden="true" customHeight="true" outlineLevel="0" collapsed="false">
      <c r="A513" s="98"/>
      <c r="B513" s="98"/>
      <c r="C513" s="28"/>
      <c r="D513" s="30"/>
      <c r="E513" s="28"/>
      <c r="F513" s="98"/>
      <c r="G513" s="28"/>
      <c r="H513" s="28"/>
    </row>
    <row r="514" customFormat="false" ht="23.25" hidden="true" customHeight="true" outlineLevel="0" collapsed="false">
      <c r="A514" s="98"/>
      <c r="B514" s="98"/>
      <c r="C514" s="28"/>
      <c r="D514" s="30"/>
      <c r="E514" s="28"/>
      <c r="F514" s="98"/>
      <c r="G514" s="28"/>
      <c r="H514" s="28"/>
    </row>
    <row r="515" customFormat="false" ht="27.75" hidden="true" customHeight="true" outlineLevel="0" collapsed="false">
      <c r="A515" s="98"/>
      <c r="B515" s="98"/>
      <c r="C515" s="28"/>
      <c r="D515" s="30"/>
      <c r="E515" s="28"/>
      <c r="F515" s="98"/>
      <c r="G515" s="28"/>
      <c r="H515" s="28"/>
    </row>
    <row r="516" customFormat="false" ht="27.75" hidden="true" customHeight="true" outlineLevel="0" collapsed="false">
      <c r="A516" s="98"/>
      <c r="B516" s="98"/>
      <c r="C516" s="28"/>
      <c r="D516" s="30"/>
      <c r="E516" s="28"/>
      <c r="F516" s="98"/>
      <c r="G516" s="28"/>
      <c r="H516" s="28"/>
    </row>
    <row r="517" customFormat="false" ht="27.75" hidden="true" customHeight="true" outlineLevel="0" collapsed="false">
      <c r="A517" s="98"/>
      <c r="B517" s="98"/>
      <c r="C517" s="28"/>
      <c r="D517" s="30"/>
      <c r="E517" s="28"/>
      <c r="F517" s="98"/>
      <c r="G517" s="28"/>
      <c r="H517" s="28"/>
    </row>
    <row r="518" customFormat="false" ht="27.75" hidden="true" customHeight="true" outlineLevel="0" collapsed="false">
      <c r="A518" s="98"/>
      <c r="B518" s="98"/>
      <c r="C518" s="28"/>
      <c r="D518" s="30"/>
      <c r="E518" s="28"/>
      <c r="F518" s="98"/>
      <c r="G518" s="28"/>
      <c r="H518" s="28"/>
    </row>
    <row r="519" customFormat="false" ht="55.5" hidden="true" customHeight="true" outlineLevel="0" collapsed="false">
      <c r="A519" s="98"/>
      <c r="B519" s="98"/>
      <c r="C519" s="28"/>
      <c r="D519" s="30"/>
      <c r="E519" s="28"/>
      <c r="F519" s="98"/>
      <c r="G519" s="28"/>
      <c r="H519" s="28"/>
    </row>
    <row r="520" customFormat="false" ht="42.75" hidden="true" customHeight="true" outlineLevel="0" collapsed="false">
      <c r="A520" s="98"/>
      <c r="B520" s="98"/>
      <c r="C520" s="28"/>
      <c r="D520" s="30"/>
      <c r="E520" s="28"/>
      <c r="F520" s="98"/>
      <c r="G520" s="28"/>
      <c r="H520" s="28"/>
    </row>
    <row r="521" customFormat="false" ht="45" hidden="true" customHeight="true" outlineLevel="0" collapsed="false">
      <c r="A521" s="98"/>
      <c r="B521" s="98"/>
      <c r="C521" s="28"/>
      <c r="D521" s="30"/>
      <c r="E521" s="28"/>
      <c r="F521" s="98"/>
      <c r="G521" s="28"/>
      <c r="H521" s="28"/>
    </row>
    <row r="522" customFormat="false" ht="43.5" hidden="true" customHeight="true" outlineLevel="0" collapsed="false">
      <c r="A522" s="98"/>
      <c r="B522" s="98"/>
      <c r="C522" s="28"/>
      <c r="D522" s="30"/>
      <c r="E522" s="28"/>
      <c r="F522" s="98"/>
      <c r="G522" s="28"/>
      <c r="H522" s="28"/>
    </row>
    <row r="523" customFormat="false" ht="23.25" hidden="true" customHeight="true" outlineLevel="0" collapsed="false">
      <c r="A523" s="98"/>
      <c r="B523" s="98"/>
      <c r="C523" s="28"/>
      <c r="D523" s="30"/>
      <c r="E523" s="28"/>
      <c r="F523" s="98"/>
      <c r="G523" s="28"/>
      <c r="H523" s="28"/>
    </row>
    <row r="524" customFormat="false" ht="23.25" hidden="true" customHeight="true" outlineLevel="0" collapsed="false">
      <c r="A524" s="98"/>
      <c r="B524" s="98"/>
      <c r="C524" s="28"/>
      <c r="D524" s="30"/>
      <c r="E524" s="28"/>
      <c r="F524" s="98"/>
      <c r="G524" s="28"/>
      <c r="H524" s="28"/>
    </row>
    <row r="525" customFormat="false" ht="45.75" hidden="true" customHeight="true" outlineLevel="0" collapsed="false">
      <c r="A525" s="98"/>
      <c r="B525" s="98"/>
      <c r="C525" s="28"/>
      <c r="D525" s="30"/>
      <c r="E525" s="28"/>
      <c r="F525" s="98"/>
      <c r="G525" s="28"/>
      <c r="H525" s="28"/>
    </row>
    <row r="526" customFormat="false" ht="23.25" hidden="true" customHeight="true" outlineLevel="0" collapsed="false">
      <c r="A526" s="98"/>
      <c r="B526" s="98"/>
      <c r="C526" s="28"/>
      <c r="D526" s="30"/>
      <c r="E526" s="28"/>
      <c r="F526" s="98"/>
      <c r="G526" s="28"/>
      <c r="H526" s="28"/>
    </row>
    <row r="527" customFormat="false" ht="23.25" hidden="true" customHeight="true" outlineLevel="0" collapsed="false">
      <c r="A527" s="98"/>
      <c r="B527" s="98"/>
      <c r="C527" s="28"/>
      <c r="D527" s="30"/>
      <c r="E527" s="28"/>
      <c r="F527" s="98"/>
      <c r="G527" s="28"/>
      <c r="H527" s="28"/>
    </row>
    <row r="528" customFormat="false" ht="23.25" hidden="true" customHeight="true" outlineLevel="0" collapsed="false">
      <c r="A528" s="98"/>
      <c r="B528" s="98"/>
      <c r="C528" s="28"/>
      <c r="D528" s="30"/>
      <c r="E528" s="28"/>
      <c r="F528" s="98"/>
      <c r="G528" s="28"/>
      <c r="H528" s="28"/>
    </row>
    <row r="529" customFormat="false" ht="23.25" hidden="true" customHeight="true" outlineLevel="0" collapsed="false">
      <c r="A529" s="98"/>
      <c r="B529" s="98"/>
      <c r="C529" s="28"/>
      <c r="D529" s="30"/>
      <c r="E529" s="28"/>
      <c r="F529" s="98"/>
      <c r="G529" s="28"/>
      <c r="H529" s="28"/>
    </row>
    <row r="530" customFormat="false" ht="45.75" hidden="true" customHeight="true" outlineLevel="0" collapsed="false">
      <c r="A530" s="98"/>
      <c r="B530" s="98"/>
      <c r="C530" s="28"/>
      <c r="D530" s="30"/>
      <c r="E530" s="28"/>
      <c r="F530" s="98"/>
      <c r="G530" s="28"/>
      <c r="H530" s="28"/>
    </row>
    <row r="531" customFormat="false" ht="23.25" hidden="true" customHeight="true" outlineLevel="0" collapsed="false">
      <c r="A531" s="98"/>
      <c r="B531" s="98"/>
      <c r="C531" s="28"/>
      <c r="D531" s="30"/>
      <c r="E531" s="28"/>
      <c r="F531" s="98"/>
      <c r="G531" s="28"/>
      <c r="H531" s="28"/>
    </row>
    <row r="532" customFormat="false" ht="23.25" hidden="true" customHeight="true" outlineLevel="0" collapsed="false">
      <c r="A532" s="98"/>
      <c r="B532" s="98"/>
      <c r="C532" s="28"/>
      <c r="D532" s="30"/>
      <c r="E532" s="28"/>
      <c r="F532" s="98"/>
      <c r="G532" s="28"/>
      <c r="H532" s="28"/>
    </row>
    <row r="533" customFormat="false" ht="69.75" hidden="true" customHeight="true" outlineLevel="0" collapsed="false">
      <c r="A533" s="98"/>
      <c r="B533" s="98"/>
      <c r="C533" s="28"/>
      <c r="D533" s="30"/>
      <c r="E533" s="28"/>
      <c r="F533" s="98"/>
      <c r="G533" s="28"/>
      <c r="H533" s="28"/>
    </row>
    <row r="534" customFormat="false" ht="23.25" hidden="true" customHeight="true" outlineLevel="0" collapsed="false">
      <c r="A534" s="98"/>
      <c r="B534" s="98"/>
      <c r="C534" s="28"/>
      <c r="D534" s="30"/>
      <c r="E534" s="28"/>
      <c r="F534" s="98"/>
      <c r="G534" s="28"/>
      <c r="H534" s="28"/>
    </row>
    <row r="535" customFormat="false" ht="23.25" hidden="true" customHeight="true" outlineLevel="0" collapsed="false">
      <c r="A535" s="98"/>
      <c r="B535" s="98"/>
      <c r="C535" s="28"/>
      <c r="D535" s="30"/>
      <c r="E535" s="28"/>
      <c r="F535" s="98"/>
      <c r="G535" s="28"/>
      <c r="H535" s="28"/>
    </row>
    <row r="536" customFormat="false" ht="23.25" hidden="true" customHeight="true" outlineLevel="0" collapsed="false">
      <c r="A536" s="98"/>
      <c r="B536" s="98"/>
      <c r="C536" s="28"/>
      <c r="D536" s="30"/>
      <c r="E536" s="28"/>
      <c r="F536" s="98"/>
      <c r="G536" s="28"/>
      <c r="H536" s="28"/>
    </row>
  </sheetData>
  <autoFilter ref="A2:H536">
    <filterColumn colId="0">
      <filters>
        <filter val="Gravidas Diagnostics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2026-06-23T00:09:58Z</dcterms:created>
  <dc:creator>openpyxl</dc:creator>
  <dc:description/>
  <dc:language>en-US</dc:language>
  <cp:lastModifiedBy>ishaan bhartia</cp:lastModifiedBy>
  <dcterms:modified xsi:type="dcterms:W3CDTF">2026-10-27T20:21:43Z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