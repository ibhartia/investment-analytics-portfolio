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bout This Plugin" sheetId="1" state="visible" r:id="rId3"/>
    <sheet name="Company Summary" sheetId="2" state="visible" r:id="rId4"/>
    <sheet name="All Scor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<sst xmlns="http://schemas.openxmlformats.org/spreadsheetml/2006/main" count="397" uniqueCount="230">
  <si>
    <t xml:space="preserve">Earnings Call Sentiment Analyzer — Plugin Guide</t>
  </si>
  <si>
    <t xml:space="preserve">  ⚙️  Configure Your Scoring Weights</t>
  </si>
  <si>
    <t xml:space="preserve">Edit the 'Your Weight' column (blue cells). Weights must sum to 100%. The Composite column in All Scores updates automatically.</t>
  </si>
  <si>
    <t xml:space="preserve">Dimension</t>
  </si>
  <si>
    <t xml:space="preserve">Description</t>
  </si>
  <si>
    <t xml:space="preserve">Default Weight</t>
  </si>
  <si>
    <t xml:space="preserve">Your Weight ✏</t>
  </si>
  <si>
    <t xml:space="preserve">Mgmt Tone</t>
  </si>
  <si>
    <t xml:space="preserve">Confidence, ownership, and energy of management delivery.</t>
  </si>
  <si>
    <t xml:space="preserve">Fwd Guidance</t>
  </si>
  <si>
    <t xml:space="preserve">Strength, specificity, and direction of forward-looking statements.</t>
  </si>
  <si>
    <t xml:space="preserve">Risk Language</t>
  </si>
  <si>
    <t xml:space="preserve">Frequency and severity of hedging, uncertainty, and risk vocabulary.</t>
  </si>
  <si>
    <t xml:space="preserve">Analyst Sent.</t>
  </si>
  <si>
    <t xml:space="preserve">Tone of analyst questions — supportive vs. skeptical vs. adversarial.</t>
  </si>
  <si>
    <t xml:space="preserve">Fin. Health</t>
  </si>
  <si>
    <t xml:space="preserve">Language around revenue, margins, cash flow, and balance sheet.</t>
  </si>
  <si>
    <t xml:space="preserve">Strat. Clarity</t>
  </si>
  <si>
    <t xml:space="preserve">Coherence, specificity, and consistency of the strategic narrative.</t>
  </si>
  <si>
    <t xml:space="preserve">TOTAL</t>
  </si>
  <si>
    <t xml:space="preserve">Weights must sum to 100%</t>
  </si>
  <si>
    <t xml:space="preserve">  📋  What Is This Plugin?</t>
  </si>
  <si>
    <t xml:space="preserve">The Earnings Call Sentiment Analyzer scores earnings call transcripts across six investor-relevant dimensions using a structured rubric. Each dimension is rated on a scale of –5 (very negative) to +5 (very positive), then combined into a weighted composite score. You can customize the dimension weights in the table above to reflect your own investment philosophy. Results are tracked per company over time so you can monitor sentiment drift, compare management credibility across tickers, and flag calls that warrant deeper due diligence.</t>
  </si>
  <si>
    <t xml:space="preserve">  ❓  What Questions Does the Analyzer Ask?</t>
  </si>
  <si>
    <t xml:space="preserve">Which transcript(s) to analyze?</t>
  </si>
  <si>
    <t xml:space="preserve">Paste the earnings call transcript text directly into the chat or upload a document. Multiple transcripts can be shared at once for a side-by-side comparison.</t>
  </si>
  <si>
    <t xml:space="preserve">What company and quarter is this?</t>
  </si>
  <si>
    <t xml:space="preserve">Identified automatically from the transcript header, or by asking you if ambiguous. Used to tag the scorecard row with Ticker, Company, Quarter, and Call Date.</t>
  </si>
  <si>
    <t xml:space="preserve">How do you want to weight the dimensions?</t>
  </si>
  <si>
    <t xml:space="preserve">You can accept the default weights (Guidance 25%, Tone 20%, Analyst 20%, Risk 15%, Health 10%, Clarity 10%) or specify your own — e.g. 'weight forward guidance at 40% and reduce analyst sentiment to 10%'. Custom weights are used for that session's composite and can be saved in the 'Your Weight' column above.</t>
  </si>
  <si>
    <t xml:space="preserve">Compare to prior quarters?</t>
  </si>
  <si>
    <t xml:space="preserve">If historical scores exist in this workbook, the analyzer can surface quarter-over-quarter shifts in tone, guidance quality, and analyst skepticism.</t>
  </si>
  <si>
    <t xml:space="preserve">Should I add this to the scorecard?</t>
  </si>
  <si>
    <t xml:space="preserve">After analysis you choose whether to append the scores to the All Scores tab. Company Summary averages update when new rows are added.</t>
  </si>
  <si>
    <t xml:space="preserve">  ⚠️  Limitations &amp; Important Notes</t>
  </si>
  <si>
    <t xml:space="preserve">Manual transcript sourcing</t>
  </si>
  <si>
    <t xml:space="preserve">Transcripts must currently be sourced and pasted manually — there is no live feed or automatic retrieval. This means the dataset only covers quarters for which you have provided transcripts, which may result in a shorter data history than ideal. Trend signals become more reliable as more quarters are added.</t>
  </si>
  <si>
    <t xml:space="preserve">Scoring is language-based, not financial</t>
  </si>
  <si>
    <t xml:space="preserve">Scores reflect tone and language from the call, not actual financial results. A company can score highly on management tone while missing consensus estimates. Always cross-reference with underlying financial data.</t>
  </si>
  <si>
    <t xml:space="preserve">Weight changes update composite formulas retroactively</t>
  </si>
  <si>
    <t xml:space="preserve">Changing 'Your Weight' cells above will recalculate all historical composite scores in All Scores automatically. This is intentional — so the workbook always reflects your current weighting philosophy. If you want to preserve a prior composite, copy-paste the column as values before changing weights.</t>
  </si>
  <si>
    <t xml:space="preserve">Subjectivity in borderline cases</t>
  </si>
  <si>
    <t xml:space="preserve">The rubric provides clear anchors, but calls near the boundary of two score levels involve some interpretive judgment. Scores should be used directionally, not as precise measurements.</t>
  </si>
  <si>
    <t xml:space="preserve">Analyst Sentiment requires Q&amp;A</t>
  </si>
  <si>
    <t xml:space="preserve">If a transcript contains only prepared remarks, Analyst Sentiment is scored N/A and excluded from the composite. Adjust weights manually if Q&amp;A is consistently absent for a company.</t>
  </si>
  <si>
    <t xml:space="preserve">Scoring scale: –5 = Very Negative  |  –3 = Negative  |  0 = Neutral  |  +3 = Positive  |  +5 = Very Positive   |   Blue cells = user input</t>
  </si>
  <si>
    <t xml:space="preserve">Company Summary — Average Sentiment Scores Across All Quarters</t>
  </si>
  <si>
    <t xml:space="preserve">Ticker</t>
  </si>
  <si>
    <t xml:space="preserve">Company</t>
  </si>
  <si>
    <t xml:space="preserve"># Quarters</t>
  </si>
  <si>
    <t xml:space="preserve">Avg Mgmt Tone
(×20%)</t>
  </si>
  <si>
    <t xml:space="preserve">Avg Fwd Guidance
(×25%)</t>
  </si>
  <si>
    <t xml:space="preserve">Avg Risk Language
(×15%)</t>
  </si>
  <si>
    <t xml:space="preserve">Avg Analyst Sent.
(×20%)</t>
  </si>
  <si>
    <t xml:space="preserve">Avg Fin. Health
(×10%)</t>
  </si>
  <si>
    <t xml:space="preserve">Avg Strat. Clarity
(×10%)</t>
  </si>
  <si>
    <t xml:space="preserve">Avg Composite</t>
  </si>
  <si>
    <t xml:space="preserve">Trend
(latest − first)</t>
  </si>
  <si>
    <t xml:space="preserve">AAPL</t>
  </si>
  <si>
    <t xml:space="preserve">Apple Inc.</t>
  </si>
  <si>
    <t xml:space="preserve">AMD</t>
  </si>
  <si>
    <t xml:space="preserve">Advanced Micro Devices</t>
  </si>
  <si>
    <t xml:space="preserve">CAT</t>
  </si>
  <si>
    <t xml:space="preserve">Caterpillar Inc.</t>
  </si>
  <si>
    <t xml:space="preserve">CVX</t>
  </si>
  <si>
    <t xml:space="preserve">Chevron Corporation</t>
  </si>
  <si>
    <t xml:space="preserve">GOOG</t>
  </si>
  <si>
    <t xml:space="preserve">Alphabet Inc.</t>
  </si>
  <si>
    <t xml:space="preserve">HD</t>
  </si>
  <si>
    <t xml:space="preserve">The Home Depot</t>
  </si>
  <si>
    <t xml:space="preserve">MCD</t>
  </si>
  <si>
    <t xml:space="preserve">McDonald's Corporation</t>
  </si>
  <si>
    <t xml:space="preserve">PFE</t>
  </si>
  <si>
    <t xml:space="preserve">Pfizer Inc.</t>
  </si>
  <si>
    <t xml:space="preserve">UNH</t>
  </si>
  <si>
    <t xml:space="preserve">UnitedHealth Group</t>
  </si>
  <si>
    <t xml:space="preserve">WMT</t>
  </si>
  <si>
    <t xml:space="preserve">Walmart Inc.</t>
  </si>
  <si>
    <t xml:space="preserve">Score Legend:   –5 = Very Negative   |   –3 = Negative   |   0 = Neutral   |   +3 = Positive   |   +5 = Very Positive</t>
  </si>
  <si>
    <t xml:space="preserve">≥ +3.0  Positive</t>
  </si>
  <si>
    <t xml:space="preserve">≥ +1.0  Mild Positive</t>
  </si>
  <si>
    <t xml:space="preserve">≥ –1.0  Neutral</t>
  </si>
  <si>
    <t xml:space="preserve">≥ –3.0  Mild Negative</t>
  </si>
  <si>
    <t xml:space="preserve">Earnings Call Sentiment Scorecard — All Transcripts</t>
  </si>
  <si>
    <t xml:space="preserve">Quarter</t>
  </si>
  <si>
    <t xml:space="preserve">Call Date</t>
  </si>
  <si>
    <t xml:space="preserve">Mgmt Tone
(×Wt)</t>
  </si>
  <si>
    <t xml:space="preserve">Fwd Guidance
(×Wt)</t>
  </si>
  <si>
    <t xml:space="preserve">Risk Language
(×Wt)</t>
  </si>
  <si>
    <t xml:space="preserve">Analyst Sent.
(×Wt)</t>
  </si>
  <si>
    <t xml:space="preserve">Fin. Health
(×Wt)</t>
  </si>
  <si>
    <t xml:space="preserve">Strat. Clarity
(×Wt)</t>
  </si>
  <si>
    <t xml:space="preserve">Composite *</t>
  </si>
  <si>
    <t xml:space="preserve">Notable Bullish Signal</t>
  </si>
  <si>
    <t xml:space="preserve">Notable Bearish Signal</t>
  </si>
  <si>
    <t xml:space="preserve">Q4 FY2024</t>
  </si>
  <si>
    <t xml:space="preserve">10/31/2024</t>
  </si>
  <si>
    <t xml:space="preserve">Stable Services growth and ecosystem momentum</t>
  </si>
  <si>
    <t xml:space="preserve">Flat forward guidance amid macro uncertainty</t>
  </si>
  <si>
    <t xml:space="preserve">Q1 FY2025</t>
  </si>
  <si>
    <t xml:space="preserve">01/30/2025</t>
  </si>
  <si>
    <t xml:space="preserve">Core Services segment remains resilient</t>
  </si>
  <si>
    <t xml:space="preserve">Tariff impacts, China demand weakness, guidance caution</t>
  </si>
  <si>
    <t xml:space="preserve">Q2 FY2025</t>
  </si>
  <si>
    <t xml:space="preserve">05/01/2025</t>
  </si>
  <si>
    <t xml:space="preserve">All-time revenue record; strong iPhone and Services growth</t>
  </si>
  <si>
    <t xml:space="preserve">Continuing tariff headwinds and China sensitivity</t>
  </si>
  <si>
    <t xml:space="preserve">Q3 FY2025</t>
  </si>
  <si>
    <t xml:space="preserve">07/31/2025</t>
  </si>
  <si>
    <t xml:space="preserve">Record EPS; AI product momentum; Services at all-time high</t>
  </si>
  <si>
    <t xml:space="preserve">Moderate supply chain complexity</t>
  </si>
  <si>
    <t xml:space="preserve">Q4 FY2025</t>
  </si>
  <si>
    <t xml:space="preserve">10/30/2025</t>
  </si>
  <si>
    <t xml:space="preserve">Record revenue across all categories; best quarter ever guidance</t>
  </si>
  <si>
    <t xml:space="preserve">Supply constraints on iPhone models</t>
  </si>
  <si>
    <t xml:space="preserve">02/04/2025</t>
  </si>
  <si>
    <t xml:space="preserve">Record financial metrics; strong AI momentum; clear product roadmap</t>
  </si>
  <si>
    <t xml:space="preserve">Gaming and Embedded segment headwinds</t>
  </si>
  <si>
    <t xml:space="preserve">05/06/2025</t>
  </si>
  <si>
    <t xml:space="preserve">Outstanding start; enterprise adoption accelerating; record EPYC sales</t>
  </si>
  <si>
    <t xml:space="preserve">Tariff and regulatory headwinds present</t>
  </si>
  <si>
    <t xml:space="preserve">08/05/2025</t>
  </si>
  <si>
    <t xml:space="preserve">Beat guidance; record CPU sales; export headwinds offset by strength</t>
  </si>
  <si>
    <t xml:space="preserve">Export control impacts on Instinct sales</t>
  </si>
  <si>
    <t xml:space="preserve">11/04/2025</t>
  </si>
  <si>
    <t xml:space="preserve">Record revenue and profitability; strong cloud demand; tens of billions AI revenue roadmap</t>
  </si>
  <si>
    <t xml:space="preserve">Minimal bearish signals</t>
  </si>
  <si>
    <t xml:space="preserve">02/03/2026</t>
  </si>
  <si>
    <t xml:space="preserve">Record revenue $10.3B; AI revenue tens of billions by 2027 target</t>
  </si>
  <si>
    <t xml:space="preserve">Gaming semi-custom expected to decline significantly in 2026</t>
  </si>
  <si>
    <t xml:space="preserve">Strong execution in delivering another good year</t>
  </si>
  <si>
    <t xml:space="preserve">Challenging comparative to Q4 2023</t>
  </si>
  <si>
    <t xml:space="preserve">04/30/2025</t>
  </si>
  <si>
    <t xml:space="preserve">Delivered adjusted operating profit above expectations</t>
  </si>
  <si>
    <t xml:space="preserve">Headwind of tariffs; lower price realization</t>
  </si>
  <si>
    <t xml:space="preserve">Delivered adjusted operating profit margin above expectations</t>
  </si>
  <si>
    <t xml:space="preserve">Headwind to profitability in H2 2025</t>
  </si>
  <si>
    <t xml:space="preserve">10/29/2025</t>
  </si>
  <si>
    <t xml:space="preserve">Strong results driven by resilient demand and focused execution</t>
  </si>
  <si>
    <t xml:space="preserve">Analysts pressed on forward demand outlook</t>
  </si>
  <si>
    <t xml:space="preserve">01/29/2026</t>
  </si>
  <si>
    <t xml:space="preserve">Delivered full year adj. operating profit margin within target range</t>
  </si>
  <si>
    <t xml:space="preserve">Headwinds acknowledged but offset by execution</t>
  </si>
  <si>
    <t xml:space="preserve">01/31/2025</t>
  </si>
  <si>
    <t xml:space="preserve">Delivered another year of strong results in 2024</t>
  </si>
  <si>
    <t xml:space="preserve">Operational pressure challenges in new pressure regimes</t>
  </si>
  <si>
    <t xml:space="preserve">05/02/2025</t>
  </si>
  <si>
    <t xml:space="preserve">Delivered strong performance; advanced plans to strengthen company</t>
  </si>
  <si>
    <t xml:space="preserve">Pressure management complexities</t>
  </si>
  <si>
    <t xml:space="preserve">08/01/2025</t>
  </si>
  <si>
    <t xml:space="preserve">Strong financial results; industry-leading free cash flow growth</t>
  </si>
  <si>
    <t xml:space="preserve">Modest near-term margin pressures acknowledged</t>
  </si>
  <si>
    <t xml:space="preserve">10/31/2025</t>
  </si>
  <si>
    <t xml:space="preserve">Delivered record production and strong cash generation</t>
  </si>
  <si>
    <t xml:space="preserve">Downstream returns more pressured than upstream</t>
  </si>
  <si>
    <t xml:space="preserve">01/30/2026</t>
  </si>
  <si>
    <t xml:space="preserve">Records; started up major projects and strengthened portfolio</t>
  </si>
  <si>
    <t xml:space="preserve">Challenging processes and integration of advanced technology</t>
  </si>
  <si>
    <t xml:space="preserve">04/24/2025</t>
  </si>
  <si>
    <t xml:space="preserve">Gemini 2.5 achieving #1 on chatbot arena by significant margin</t>
  </si>
  <si>
    <t xml:space="preserve">No explicit guidance raise despite record growth</t>
  </si>
  <si>
    <t xml:space="preserve">07/23/2025</t>
  </si>
  <si>
    <t xml:space="preserve">Cloud rapid growth; Wiz acquisition signals aggressive enterprise expansion</t>
  </si>
  <si>
    <t xml:space="preserve">Analyst follow-ups on competitive margins increase</t>
  </si>
  <si>
    <t xml:space="preserve">Ironwood TPU delivering 10x compute improvement; subscription growth acceleration</t>
  </si>
  <si>
    <t xml:space="preserve">Analyst skepticism on AI monetization path</t>
  </si>
  <si>
    <t xml:space="preserve">02/04/2026</t>
  </si>
  <si>
    <t xml:space="preserve">Record quarterly revenue $113.8B; enterprise AI agents with 8M+ paid seats</t>
  </si>
  <si>
    <t xml:space="preserve">Previously challenging to monetize search AI; competitive pressures</t>
  </si>
  <si>
    <t xml:space="preserve">02/25/2025</t>
  </si>
  <si>
    <t xml:space="preserve">Positive comps across most U.S. regions; appliances performing well</t>
  </si>
  <si>
    <t xml:space="preserve">Macro consumer uncertainty; lack of growth strategy specifics</t>
  </si>
  <si>
    <t xml:space="preserve">05/20/2025</t>
  </si>
  <si>
    <t xml:space="preserve">Record appliance and building materials sales</t>
  </si>
  <si>
    <t xml:space="preserve">Lack of forward guidance raise despite record metrics</t>
  </si>
  <si>
    <t xml:space="preserve">08/19/2025</t>
  </si>
  <si>
    <t xml:space="preserve">Still claims strong value proposition and customer relationships</t>
  </si>
  <si>
    <t xml:space="preserve">References challenging environment multiple times; margins soften</t>
  </si>
  <si>
    <t xml:space="preserve">11/18/2025</t>
  </si>
  <si>
    <t xml:space="preserve">Maintains strong customer relationships and consistent execution</t>
  </si>
  <si>
    <t xml:space="preserve">Multiple challenging environment refs; lack of storms; difficult housing market</t>
  </si>
  <si>
    <t xml:space="preserve">02/24/2026</t>
  </si>
  <si>
    <t xml:space="preserve">Positive comps in power, plumbing, electrical; Black Friday praised</t>
  </si>
  <si>
    <t xml:space="preserve">Repeated challenging language; housing market weakness; restructuring narrative</t>
  </si>
  <si>
    <t xml:space="preserve">02/10/2025</t>
  </si>
  <si>
    <t xml:space="preserve">Confidence in Accelerating the Arches strategy; strong brand resilience</t>
  </si>
  <si>
    <t xml:space="preserve">Pressure on spending persists with low-income consumer cohorts</t>
  </si>
  <si>
    <t xml:space="preserve">Focused on factors within control including outstanding operations</t>
  </si>
  <si>
    <t xml:space="preserve">Challenging time for QSR industry; macroeconomic uncertainty</t>
  </si>
  <si>
    <t xml:space="preserve">08/06/2025</t>
  </si>
  <si>
    <t xml:space="preserve">Global system-wide sales growth of over 6% in constant currency</t>
  </si>
  <si>
    <t xml:space="preserve">Challenging backdrop for industry with global consumer hesitancy</t>
  </si>
  <si>
    <t xml:space="preserve">11/05/2025</t>
  </si>
  <si>
    <t xml:space="preserve">Global comparable sales growth of more than 3.6%; new restaurant openings accelerating</t>
  </si>
  <si>
    <t xml:space="preserve">Pressures expected to continue well into 2026</t>
  </si>
  <si>
    <t xml:space="preserve">02/11/2026</t>
  </si>
  <si>
    <t xml:space="preserve">System-wide sales growth reflects accelerating pace of new restaurant openings</t>
  </si>
  <si>
    <t xml:space="preserve">Challenging industry backdrop persists into 2026</t>
  </si>
  <si>
    <t xml:space="preserve">2024 was a strong year of execution and performance for Pfizer</t>
  </si>
  <si>
    <t xml:space="preserve">Forward-looking statements subject to substantial risks</t>
  </si>
  <si>
    <t xml:space="preserve">04/29/2025</t>
  </si>
  <si>
    <t xml:space="preserve">Strong relationships with government leaders help navigate with agility</t>
  </si>
  <si>
    <t xml:space="preserve">Raising adjusted diluted EPS guidance for full year 2025</t>
  </si>
  <si>
    <t xml:space="preserve">Navigating complicated and rapidly evolving geopolitical environment</t>
  </si>
  <si>
    <t xml:space="preserve">Really excited about future; confident in strong position to deliver value</t>
  </si>
  <si>
    <t xml:space="preserve">Very pleased with strong execution; over-delivered on financial commitments</t>
  </si>
  <si>
    <t xml:space="preserve">01/16/2025</t>
  </si>
  <si>
    <t xml:space="preserve">Confident management tone; congratulatory analyst questions focused on upside</t>
  </si>
  <si>
    <t xml:space="preserve">04/17/2025</t>
  </si>
  <si>
    <t xml:space="preserve">Confident management tone; generally supportive analysts</t>
  </si>
  <si>
    <t xml:space="preserve">07/29/2025</t>
  </si>
  <si>
    <t xml:space="preserve">Congratulatory analyst tone; guidance reaffirmed</t>
  </si>
  <si>
    <t xml:space="preserve">10/28/2025</t>
  </si>
  <si>
    <t xml:space="preserve">Guidance raised with specific targets; very supportive analyst sentiment</t>
  </si>
  <si>
    <t xml:space="preserve">Measured management tone indicates caution</t>
  </si>
  <si>
    <t xml:space="preserve">01/27/2026</t>
  </si>
  <si>
    <t xml:space="preserve">Congratulatory analyst tone; positive management tone</t>
  </si>
  <si>
    <t xml:space="preserve">Slight guidance reduction from prior quarters</t>
  </si>
  <si>
    <t xml:space="preserve">02/20/2024</t>
  </si>
  <si>
    <t xml:space="preserve">Highly confident management; strong beats; congratulatory analysts</t>
  </si>
  <si>
    <t xml:space="preserve">08/15/2024</t>
  </si>
  <si>
    <t xml:space="preserve">Confident tone; beats on key metrics; supportive analysts</t>
  </si>
  <si>
    <t xml:space="preserve">11/19/2024</t>
  </si>
  <si>
    <t xml:space="preserve">Highly confident management; strong execution; congratulatory analysts</t>
  </si>
  <si>
    <t xml:space="preserve">02/20/2025</t>
  </si>
  <si>
    <t xml:space="preserve">Highly confident management; beats on key metrics; supportive analysts</t>
  </si>
  <si>
    <t xml:space="preserve">Q1 FY2026</t>
  </si>
  <si>
    <t xml:space="preserve">05/16/2025</t>
  </si>
  <si>
    <t xml:space="preserve">Highly confident management; record metrics; strong analyst support</t>
  </si>
  <si>
    <t xml:space="preserve">* Composite updates automatically when you change 'Your Weight' on the About This Plugin tab.   Scale: –5 = Very Negative  ···  0 = Neutral  ···  +5 = Very Positive</t>
  </si>
</sst>
</file>

<file path=xl/styles.xml><?xml version="1.0" encoding="utf-8"?>
<styleSheet xmlns="http://schemas.openxmlformats.org/spreadsheetml/2006/main">
  <numFmts count="4">
    <numFmt numFmtId="164" formatCode="General"/>
    <numFmt numFmtId="165" formatCode="0%"/>
    <numFmt numFmtId="166" formatCode="\+0.00;\-0.00;0.00"/>
    <numFmt numFmtId="167" formatCode="&quot;↑ +&quot;0.00;&quot;↓ -&quot;0.00;&quot;→ &quot;0.00"/>
  </numFmts>
  <fonts count="16">
    <font>
      <sz val="11"/>
      <color theme="1"/>
      <name val="Calibri"/>
      <family val="2"/>
      <charset val="1"/>
    </font>
    <font>
      <sz val="10"/>
      <name val="Arial"/>
      <family val="0"/>
    </font>
    <font>
      <sz val="10"/>
      <name val="Arial"/>
      <family val="0"/>
    </font>
    <font>
      <sz val="10"/>
      <name val="Arial"/>
      <family val="0"/>
    </font>
    <font>
      <b val="true"/>
      <sz val="16"/>
      <color rgb="FFFFFFFF"/>
      <name val="Arial"/>
      <family val="2"/>
      <charset val="1"/>
    </font>
    <font>
      <b val="true"/>
      <sz val="11"/>
      <color rgb="FFFFFFFF"/>
      <name val="Arial"/>
      <family val="2"/>
      <charset val="1"/>
    </font>
    <font>
      <i val="true"/>
      <sz val="9"/>
      <color rgb="FF595959"/>
      <name val="Arial"/>
      <family val="2"/>
      <charset val="1"/>
    </font>
    <font>
      <b val="true"/>
      <sz val="10"/>
      <color rgb="FFFFFFFF"/>
      <name val="Arial"/>
      <family val="2"/>
      <charset val="1"/>
    </font>
    <font>
      <b val="true"/>
      <sz val="10"/>
      <color rgb="FF1F3864"/>
      <name val="Arial"/>
      <family val="2"/>
      <charset val="1"/>
    </font>
    <font>
      <sz val="10"/>
      <color rgb="FF000000"/>
      <name val="Arial"/>
      <family val="2"/>
      <charset val="1"/>
    </font>
    <font>
      <sz val="10"/>
      <color rgb="FF595959"/>
      <name val="Arial"/>
      <family val="2"/>
      <charset val="1"/>
    </font>
    <font>
      <b val="true"/>
      <sz val="10"/>
      <color rgb="FF0000FF"/>
      <name val="Arial"/>
      <family val="2"/>
      <charset val="1"/>
    </font>
    <font>
      <i val="true"/>
      <sz val="10"/>
      <color rgb="FFFFFFFF"/>
      <name val="Arial"/>
      <family val="2"/>
      <charset val="1"/>
    </font>
    <font>
      <b val="true"/>
      <sz val="14"/>
      <color rgb="FF1F3864"/>
      <name val="Arial"/>
      <family val="2"/>
      <charset val="1"/>
    </font>
    <font>
      <b val="true"/>
      <sz val="9"/>
      <color rgb="FF000000"/>
      <name val="Arial"/>
      <family val="2"/>
      <charset val="1"/>
    </font>
    <font>
      <b val="true"/>
      <sz val="10"/>
      <color rgb="FF000000"/>
      <name val="Arial"/>
      <family val="2"/>
      <charset val="1"/>
    </font>
  </fonts>
  <fills count="12">
    <fill>
      <patternFill patternType="none"/>
    </fill>
    <fill>
      <patternFill patternType="gray125"/>
    </fill>
    <fill>
      <patternFill patternType="solid">
        <fgColor rgb="FF1F3864"/>
        <bgColor rgb="FF333399"/>
      </patternFill>
    </fill>
    <fill>
      <patternFill patternType="solid">
        <fgColor rgb="FF2E74B5"/>
        <bgColor rgb="FF0066CC"/>
      </patternFill>
    </fill>
    <fill>
      <patternFill patternType="solid">
        <fgColor rgb="FFF2F2F2"/>
        <bgColor rgb="FFEBF3FB"/>
      </patternFill>
    </fill>
    <fill>
      <patternFill patternType="solid">
        <fgColor rgb="FFD9D9D9"/>
        <bgColor rgb="FFCCCCCC"/>
      </patternFill>
    </fill>
    <fill>
      <patternFill patternType="solid">
        <fgColor rgb="FFEBF3FB"/>
        <bgColor rgb="FFF2F2F2"/>
      </patternFill>
    </fill>
    <fill>
      <patternFill patternType="solid">
        <fgColor rgb="FFFFEB9C"/>
        <bgColor rgb="FFFFFFD9"/>
      </patternFill>
    </fill>
    <fill>
      <patternFill patternType="solid">
        <fgColor rgb="FFFFFFD9"/>
        <bgColor rgb="FFFFFFFF"/>
      </patternFill>
    </fill>
    <fill>
      <patternFill patternType="solid">
        <fgColor rgb="FFC6EFCE"/>
        <bgColor rgb="FFD9D9D9"/>
      </patternFill>
    </fill>
    <fill>
      <patternFill patternType="solid">
        <fgColor rgb="FFFFCCCC"/>
        <bgColor rgb="FFD9D9D9"/>
      </patternFill>
    </fill>
    <fill>
      <patternFill patternType="solid">
        <fgColor rgb="FFFF9999"/>
        <bgColor rgb="FFFF8080"/>
      </patternFill>
    </fill>
  </fills>
  <borders count="4">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medium">
        <color rgb="FF2E74B5"/>
      </left>
      <right style="medium">
        <color rgb="FF2E74B5"/>
      </right>
      <top style="thin">
        <color rgb="FF2E74B5"/>
      </top>
      <bottom style="thin">
        <color rgb="FF2E74B5"/>
      </bottom>
      <diagonal/>
    </border>
    <border diagonalUp="false" diagonalDown="false">
      <left style="medium">
        <color rgb="FF2E74B5"/>
      </left>
      <right style="medium">
        <color rgb="FF2E74B5"/>
      </right>
      <top style="medium">
        <color rgb="FF2E74B5"/>
      </top>
      <bottom style="medium">
        <color rgb="FF2E74B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true" applyAlignment="true" applyProtection="false">
      <alignment horizontal="left" vertical="center"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5" fontId="10" fillId="5" borderId="1" xfId="0" applyFont="true" applyBorder="true" applyAlignment="true" applyProtection="false">
      <alignment horizontal="center" vertical="center" textRotation="0" wrapText="false" indent="0" shrinkToFit="false"/>
      <protection locked="true" hidden="false"/>
    </xf>
    <xf numFmtId="165" fontId="11" fillId="6" borderId="2" xfId="0" applyFont="true" applyBorder="true" applyAlignment="true" applyProtection="false">
      <alignment horizontal="center" vertical="center"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12" fillId="2" borderId="1" xfId="0" applyFont="true" applyBorder="true" applyAlignment="true" applyProtection="false">
      <alignment horizontal="left" vertical="center" textRotation="0" wrapText="false" indent="0" shrinkToFit="false"/>
      <protection locked="true" hidden="false"/>
    </xf>
    <xf numFmtId="165" fontId="7" fillId="2" borderId="1" xfId="0" applyFont="true" applyBorder="true" applyAlignment="true" applyProtection="false">
      <alignment horizontal="center" vertical="center" textRotation="0" wrapText="false" indent="0" shrinkToFit="false"/>
      <protection locked="true" hidden="false"/>
    </xf>
    <xf numFmtId="165" fontId="7" fillId="2" borderId="3"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6" fillId="0" borderId="0"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6" fontId="9" fillId="7" borderId="1" xfId="0" applyFont="true" applyBorder="true" applyAlignment="true" applyProtection="false">
      <alignment horizontal="center" vertical="center" textRotation="0" wrapText="false" indent="0" shrinkToFit="false"/>
      <protection locked="true" hidden="false"/>
    </xf>
    <xf numFmtId="166" fontId="9" fillId="8" borderId="1" xfId="0" applyFont="true" applyBorder="true" applyAlignment="true" applyProtection="false">
      <alignment horizontal="center" vertical="center" textRotation="0" wrapText="false" indent="0" shrinkToFit="false"/>
      <protection locked="true" hidden="false"/>
    </xf>
    <xf numFmtId="167" fontId="9" fillId="0"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left" vertical="center" textRotation="0" wrapText="false" indent="0" shrinkToFit="false"/>
      <protection locked="true" hidden="false"/>
    </xf>
    <xf numFmtId="166" fontId="9" fillId="9" borderId="1" xfId="0" applyFont="true" applyBorder="true" applyAlignment="true" applyProtection="false">
      <alignment horizontal="center" vertical="center" textRotation="0" wrapText="false" indent="0" shrinkToFit="false"/>
      <protection locked="true" hidden="false"/>
    </xf>
    <xf numFmtId="167" fontId="9" fillId="4" borderId="1" xfId="0" applyFont="true" applyBorder="true" applyAlignment="true" applyProtection="false">
      <alignment horizontal="center" vertical="center" textRotation="0" wrapText="false" indent="0" shrinkToFit="false"/>
      <protection locked="true" hidden="false"/>
    </xf>
    <xf numFmtId="166" fontId="9" fillId="10" borderId="1" xfId="0" applyFont="true" applyBorder="true" applyAlignment="true" applyProtection="false">
      <alignment horizontal="center" vertical="center" textRotation="0" wrapText="false" indent="0" shrinkToFit="false"/>
      <protection locked="true" hidden="false"/>
    </xf>
    <xf numFmtId="166" fontId="9" fillId="11" borderId="1"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center" vertical="center" textRotation="0" wrapText="false" indent="0" shrinkToFit="false"/>
      <protection locked="true" hidden="false"/>
    </xf>
    <xf numFmtId="166" fontId="15" fillId="8"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6" fontId="15" fillId="7" borderId="1" xfId="0" applyFont="true" applyBorder="true" applyAlignment="true" applyProtection="false">
      <alignment horizontal="center" vertical="center" textRotation="0" wrapText="false" indent="0" shrinkToFit="false"/>
      <protection locked="true" hidden="false"/>
    </xf>
    <xf numFmtId="166" fontId="15" fillId="9" borderId="1" xfId="0" applyFont="true" applyBorder="true" applyAlignment="true" applyProtection="false">
      <alignment horizontal="center" vertical="center" textRotation="0" wrapText="false" indent="0" shrinkToFit="false"/>
      <protection locked="true" hidden="false"/>
    </xf>
    <xf numFmtId="166" fontId="15" fillId="0" borderId="1" xfId="0" applyFont="true" applyBorder="true" applyAlignment="true" applyProtection="false">
      <alignment horizontal="center" vertical="center" textRotation="0" wrapText="false" indent="0" shrinkToFit="false"/>
      <protection locked="true" hidden="false"/>
    </xf>
    <xf numFmtId="164" fontId="14" fillId="9" borderId="1" xfId="0" applyFont="true" applyBorder="true" applyAlignment="true" applyProtection="false">
      <alignment horizontal="center" vertical="center" textRotation="0" wrapText="false" indent="0" shrinkToFit="false"/>
      <protection locked="true" hidden="false"/>
    </xf>
    <xf numFmtId="164" fontId="14" fillId="7" borderId="1" xfId="0" applyFont="true" applyBorder="true" applyAlignment="true" applyProtection="false">
      <alignment horizontal="center" vertical="center" textRotation="0" wrapText="false" indent="0" shrinkToFit="false"/>
      <protection locked="true" hidden="false"/>
    </xf>
    <xf numFmtId="164" fontId="14" fillId="8" borderId="1" xfId="0" applyFont="true" applyBorder="true" applyAlignment="true" applyProtection="false">
      <alignment horizontal="center" vertical="center" textRotation="0" wrapText="false" indent="0" shrinkToFit="false"/>
      <protection locked="true" hidden="false"/>
    </xf>
    <xf numFmtId="164" fontId="14" fillId="1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D9"/>
      <rgbColor rgb="FFEBF3FB"/>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F9999"/>
      <rgbColor rgb="FFCC99FF"/>
      <rgbColor rgb="FFFFCCCC"/>
      <rgbColor rgb="FF2E74B5"/>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D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0" width="28"/>
    <col collapsed="false" customWidth="true" hidden="false" outlineLevel="0" max="2" min="2" style="0" width="55"/>
    <col collapsed="false" customWidth="true" hidden="false" outlineLevel="0" max="4" min="3" style="0" width="14"/>
  </cols>
  <sheetData>
    <row r="1" customFormat="false" ht="39.75" hidden="false" customHeight="true" outlineLevel="0" collapsed="false">
      <c r="A1" s="1" t="s">
        <v>0</v>
      </c>
      <c r="B1" s="1"/>
      <c r="C1" s="1"/>
      <c r="D1" s="1"/>
    </row>
    <row r="2" customFormat="false" ht="7.5" hidden="false" customHeight="true" outlineLevel="0" collapsed="false"/>
    <row r="3" customFormat="false" ht="21.75" hidden="false" customHeight="true" outlineLevel="0" collapsed="false">
      <c r="A3" s="2" t="s">
        <v>1</v>
      </c>
      <c r="B3" s="2"/>
      <c r="C3" s="2"/>
      <c r="D3" s="2"/>
    </row>
    <row r="4" customFormat="false" ht="13.5" hidden="false" customHeight="true" outlineLevel="0" collapsed="false">
      <c r="A4" s="3" t="s">
        <v>2</v>
      </c>
      <c r="B4" s="3"/>
      <c r="C4" s="3"/>
      <c r="D4" s="3"/>
    </row>
    <row r="5" customFormat="false" ht="19.5" hidden="false" customHeight="true" outlineLevel="0" collapsed="false">
      <c r="A5" s="4" t="s">
        <v>3</v>
      </c>
      <c r="B5" s="4" t="s">
        <v>4</v>
      </c>
      <c r="C5" s="4" t="s">
        <v>5</v>
      </c>
      <c r="D5" s="4" t="s">
        <v>6</v>
      </c>
    </row>
    <row r="6" customFormat="false" ht="21.75" hidden="false" customHeight="true" outlineLevel="0" collapsed="false">
      <c r="A6" s="5" t="s">
        <v>7</v>
      </c>
      <c r="B6" s="6" t="s">
        <v>8</v>
      </c>
      <c r="C6" s="7" t="n">
        <v>0.2</v>
      </c>
      <c r="D6" s="8" t="n">
        <v>0.2</v>
      </c>
    </row>
    <row r="7" customFormat="false" ht="21.75" hidden="false" customHeight="true" outlineLevel="0" collapsed="false">
      <c r="A7" s="5" t="s">
        <v>9</v>
      </c>
      <c r="B7" s="6" t="s">
        <v>10</v>
      </c>
      <c r="C7" s="7" t="n">
        <v>0.25</v>
      </c>
      <c r="D7" s="8" t="n">
        <v>0.25</v>
      </c>
    </row>
    <row r="8" customFormat="false" ht="21.75" hidden="false" customHeight="true" outlineLevel="0" collapsed="false">
      <c r="A8" s="5" t="s">
        <v>11</v>
      </c>
      <c r="B8" s="6" t="s">
        <v>12</v>
      </c>
      <c r="C8" s="7" t="n">
        <v>0.15</v>
      </c>
      <c r="D8" s="8" t="n">
        <v>0.15</v>
      </c>
    </row>
    <row r="9" customFormat="false" ht="21.75" hidden="false" customHeight="true" outlineLevel="0" collapsed="false">
      <c r="A9" s="5" t="s">
        <v>13</v>
      </c>
      <c r="B9" s="6" t="s">
        <v>14</v>
      </c>
      <c r="C9" s="7" t="n">
        <v>0.2</v>
      </c>
      <c r="D9" s="8" t="n">
        <v>0.2</v>
      </c>
    </row>
    <row r="10" customFormat="false" ht="21.75" hidden="false" customHeight="true" outlineLevel="0" collapsed="false">
      <c r="A10" s="5" t="s">
        <v>15</v>
      </c>
      <c r="B10" s="6" t="s">
        <v>16</v>
      </c>
      <c r="C10" s="7" t="n">
        <v>0.1</v>
      </c>
      <c r="D10" s="8" t="n">
        <v>0.1</v>
      </c>
    </row>
    <row r="11" customFormat="false" ht="21.75" hidden="false" customHeight="true" outlineLevel="0" collapsed="false">
      <c r="A11" s="5" t="s">
        <v>17</v>
      </c>
      <c r="B11" s="6" t="s">
        <v>18</v>
      </c>
      <c r="C11" s="7" t="n">
        <v>0.1</v>
      </c>
      <c r="D11" s="8" t="n">
        <v>0.1</v>
      </c>
    </row>
    <row r="12" customFormat="false" ht="19.5" hidden="false" customHeight="true" outlineLevel="0" collapsed="false">
      <c r="A12" s="9" t="s">
        <v>19</v>
      </c>
      <c r="B12" s="10" t="s">
        <v>20</v>
      </c>
      <c r="C12" s="11" t="n">
        <f aca="false">SUM(C6:C11)</f>
        <v>1</v>
      </c>
      <c r="D12" s="12" t="n">
        <f aca="false">SUM(D6:D11)</f>
        <v>1</v>
      </c>
    </row>
    <row r="13" customFormat="false" ht="7.5" hidden="false" customHeight="true" outlineLevel="0" collapsed="false"/>
    <row r="14" customFormat="false" ht="19.5" hidden="false" customHeight="true" outlineLevel="0" collapsed="false">
      <c r="A14" s="2" t="s">
        <v>21</v>
      </c>
      <c r="B14" s="2"/>
      <c r="C14" s="2"/>
      <c r="D14" s="2"/>
    </row>
    <row r="15" customFormat="false" ht="72" hidden="false" customHeight="true" outlineLevel="0" collapsed="false">
      <c r="A15" s="13" t="s">
        <v>22</v>
      </c>
      <c r="B15" s="13"/>
      <c r="C15" s="13"/>
      <c r="D15" s="13"/>
    </row>
    <row r="16" customFormat="false" ht="19.5" hidden="false" customHeight="true" outlineLevel="0" collapsed="false">
      <c r="A16" s="2" t="s">
        <v>23</v>
      </c>
      <c r="B16" s="2"/>
      <c r="C16" s="2"/>
      <c r="D16" s="2"/>
    </row>
    <row r="17" customFormat="false" ht="54.75" hidden="false" customHeight="true" outlineLevel="0" collapsed="false">
      <c r="A17" s="14" t="s">
        <v>24</v>
      </c>
      <c r="B17" s="15" t="s">
        <v>25</v>
      </c>
      <c r="C17" s="15"/>
      <c r="D17" s="15"/>
    </row>
    <row r="18" customFormat="false" ht="54.75" hidden="false" customHeight="true" outlineLevel="0" collapsed="false">
      <c r="A18" s="16" t="s">
        <v>26</v>
      </c>
      <c r="B18" s="13" t="s">
        <v>27</v>
      </c>
      <c r="C18" s="13"/>
      <c r="D18" s="13"/>
    </row>
    <row r="19" customFormat="false" ht="54.75" hidden="false" customHeight="true" outlineLevel="0" collapsed="false">
      <c r="A19" s="14" t="s">
        <v>28</v>
      </c>
      <c r="B19" s="15" t="s">
        <v>29</v>
      </c>
      <c r="C19" s="15"/>
      <c r="D19" s="15"/>
    </row>
    <row r="20" customFormat="false" ht="54.75" hidden="false" customHeight="true" outlineLevel="0" collapsed="false">
      <c r="A20" s="16" t="s">
        <v>30</v>
      </c>
      <c r="B20" s="13" t="s">
        <v>31</v>
      </c>
      <c r="C20" s="13"/>
      <c r="D20" s="13"/>
    </row>
    <row r="21" customFormat="false" ht="54.75" hidden="false" customHeight="true" outlineLevel="0" collapsed="false">
      <c r="A21" s="14" t="s">
        <v>32</v>
      </c>
      <c r="B21" s="15" t="s">
        <v>33</v>
      </c>
      <c r="C21" s="15"/>
      <c r="D21" s="15"/>
    </row>
    <row r="22" customFormat="false" ht="19.5" hidden="false" customHeight="true" outlineLevel="0" collapsed="false">
      <c r="A22" s="2" t="s">
        <v>34</v>
      </c>
      <c r="B22" s="2"/>
      <c r="C22" s="2"/>
      <c r="D22" s="2"/>
    </row>
    <row r="23" customFormat="false" ht="54.75" hidden="false" customHeight="true" outlineLevel="0" collapsed="false">
      <c r="A23" s="14" t="s">
        <v>35</v>
      </c>
      <c r="B23" s="15" t="s">
        <v>36</v>
      </c>
      <c r="C23" s="15"/>
      <c r="D23" s="15"/>
    </row>
    <row r="24" customFormat="false" ht="54.75" hidden="false" customHeight="true" outlineLevel="0" collapsed="false">
      <c r="A24" s="16" t="s">
        <v>37</v>
      </c>
      <c r="B24" s="13" t="s">
        <v>38</v>
      </c>
      <c r="C24" s="13"/>
      <c r="D24" s="13"/>
    </row>
    <row r="25" customFormat="false" ht="54.75" hidden="false" customHeight="true" outlineLevel="0" collapsed="false">
      <c r="A25" s="14" t="s">
        <v>39</v>
      </c>
      <c r="B25" s="15" t="s">
        <v>40</v>
      </c>
      <c r="C25" s="15"/>
      <c r="D25" s="15"/>
    </row>
    <row r="26" customFormat="false" ht="54.75" hidden="false" customHeight="true" outlineLevel="0" collapsed="false">
      <c r="A26" s="16" t="s">
        <v>41</v>
      </c>
      <c r="B26" s="13" t="s">
        <v>42</v>
      </c>
      <c r="C26" s="13"/>
      <c r="D26" s="13"/>
    </row>
    <row r="27" customFormat="false" ht="54.75" hidden="false" customHeight="true" outlineLevel="0" collapsed="false">
      <c r="A27" s="14" t="s">
        <v>43</v>
      </c>
      <c r="B27" s="15" t="s">
        <v>44</v>
      </c>
      <c r="C27" s="15"/>
      <c r="D27" s="15"/>
    </row>
    <row r="28" customFormat="false" ht="18" hidden="false" customHeight="true" outlineLevel="0" collapsed="false">
      <c r="A28" s="17" t="s">
        <v>45</v>
      </c>
      <c r="B28" s="17"/>
      <c r="C28" s="17"/>
      <c r="D28" s="17"/>
    </row>
  </sheetData>
  <mergeCells count="18">
    <mergeCell ref="A1:D1"/>
    <mergeCell ref="A3:D3"/>
    <mergeCell ref="A4:D4"/>
    <mergeCell ref="A14:D14"/>
    <mergeCell ref="A15:D15"/>
    <mergeCell ref="A16:D16"/>
    <mergeCell ref="B17:D17"/>
    <mergeCell ref="B18:D18"/>
    <mergeCell ref="B19:D19"/>
    <mergeCell ref="B20:D20"/>
    <mergeCell ref="B21:D21"/>
    <mergeCell ref="A22:D22"/>
    <mergeCell ref="B23:D23"/>
    <mergeCell ref="B24:D24"/>
    <mergeCell ref="B25:D25"/>
    <mergeCell ref="B26:D26"/>
    <mergeCell ref="B27:D27"/>
    <mergeCell ref="A28:D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4B5"/>
    <pageSetUpPr fitToPage="false"/>
  </sheetPr>
  <dimension ref="A1:K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8320312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11"/>
    <col collapsed="false" customWidth="true" hidden="false" outlineLevel="0" max="7" min="4" style="0" width="15"/>
    <col collapsed="false" customWidth="true" hidden="false" outlineLevel="0" max="8" min="8" style="0" width="13"/>
    <col collapsed="false" customWidth="true" hidden="false" outlineLevel="0" max="9" min="9" style="0" width="14"/>
    <col collapsed="false" customWidth="true" hidden="false" outlineLevel="0" max="10" min="10" style="0" width="13"/>
    <col collapsed="false" customWidth="true" hidden="false" outlineLevel="0" max="11" min="11" style="0" width="12"/>
  </cols>
  <sheetData>
    <row r="1" customFormat="false" ht="31.5" hidden="false" customHeight="true" outlineLevel="0" collapsed="false">
      <c r="A1" s="18" t="s">
        <v>46</v>
      </c>
      <c r="B1" s="18"/>
      <c r="C1" s="18"/>
      <c r="D1" s="18"/>
      <c r="E1" s="18"/>
      <c r="F1" s="18"/>
      <c r="G1" s="18"/>
      <c r="H1" s="18"/>
      <c r="I1" s="18"/>
      <c r="J1" s="18"/>
      <c r="K1" s="18"/>
    </row>
    <row r="2" customFormat="false" ht="39.75" hidden="false" customHeight="true" outlineLevel="0" collapsed="false">
      <c r="A2" s="4" t="s">
        <v>47</v>
      </c>
      <c r="B2" s="4" t="s">
        <v>48</v>
      </c>
      <c r="C2" s="4" t="s">
        <v>49</v>
      </c>
      <c r="D2" s="4" t="s">
        <v>50</v>
      </c>
      <c r="E2" s="4" t="s">
        <v>51</v>
      </c>
      <c r="F2" s="4" t="s">
        <v>52</v>
      </c>
      <c r="G2" s="4" t="s">
        <v>53</v>
      </c>
      <c r="H2" s="4" t="s">
        <v>54</v>
      </c>
      <c r="I2" s="4" t="s">
        <v>55</v>
      </c>
      <c r="J2" s="4" t="s">
        <v>56</v>
      </c>
      <c r="K2" s="4" t="s">
        <v>57</v>
      </c>
    </row>
    <row r="3" customFormat="false" ht="18" hidden="false" customHeight="true" outlineLevel="0" collapsed="false">
      <c r="A3" s="19" t="s">
        <v>58</v>
      </c>
      <c r="B3" s="20" t="s">
        <v>59</v>
      </c>
      <c r="C3" s="19" t="n">
        <f aca="false">COUNTIF('All Scores'!$A$3:$A$51,$A3)</f>
        <v>5</v>
      </c>
      <c r="D3" s="21" t="n">
        <f aca="false">ROUND(AVERAGEIFS('All Scores'!$E$3:$E$51,'All Scores'!$A$3:$A$51,$A3),2)</f>
        <v>2.8</v>
      </c>
      <c r="E3" s="21" t="n">
        <f aca="false">ROUND(AVERAGEIFS('All Scores'!$F$3:$F$51,'All Scores'!$A$3:$A$51,$A3),2)</f>
        <v>2</v>
      </c>
      <c r="F3" s="22" t="n">
        <f aca="false">ROUND(AVERAGEIFS('All Scores'!$G$3:$G$51,'All Scores'!$A$3:$A$51,$A3),2)</f>
        <v>0.8</v>
      </c>
      <c r="G3" s="21" t="n">
        <f aca="false">ROUND(AVERAGEIFS('All Scores'!$H$3:$H$51,'All Scores'!$A$3:$A$51,$A3),2)</f>
        <v>1.8</v>
      </c>
      <c r="H3" s="21" t="n">
        <f aca="false">ROUND(AVERAGEIFS('All Scores'!$I$3:$I$51,'All Scores'!$A$3:$A$51,$A3),2)</f>
        <v>2</v>
      </c>
      <c r="I3" s="21" t="n">
        <f aca="false">ROUND(AVERAGEIFS('All Scores'!$J$3:$J$51,'All Scores'!$A$3:$A$51,$A3),2)</f>
        <v>1</v>
      </c>
      <c r="J3" s="21" t="n">
        <f aca="false">ROUND(AVERAGEIFS('All Scores'!$K$3:$K$51,'All Scores'!$A$3:$A$51,$A3),2)</f>
        <v>1.84</v>
      </c>
      <c r="K3" s="23" t="n">
        <f aca="false">ROUND(INDEX('All Scores'!$K$3:$K$51,MATCH($A3,'All Scores'!$A$3:$A$51,0)+COUNTIF('All Scores'!$A$3:$A$51,$A3)-1)-INDEX('All Scores'!$K$3:$K$51,MATCH($A3,'All Scores'!$A$3:$A$51,0)),2)</f>
        <v>2.35</v>
      </c>
    </row>
    <row r="4" customFormat="false" ht="18" hidden="false" customHeight="true" outlineLevel="0" collapsed="false">
      <c r="A4" s="24" t="s">
        <v>60</v>
      </c>
      <c r="B4" s="25" t="s">
        <v>61</v>
      </c>
      <c r="C4" s="24" t="n">
        <f aca="false">COUNTIF('All Scores'!$A$3:$A$51,$A4)</f>
        <v>5</v>
      </c>
      <c r="D4" s="26" t="n">
        <f aca="false">ROUND(AVERAGEIFS('All Scores'!$E$3:$E$51,'All Scores'!$A$3:$A$51,$A4),2)</f>
        <v>4</v>
      </c>
      <c r="E4" s="26" t="n">
        <f aca="false">ROUND(AVERAGEIFS('All Scores'!$F$3:$F$51,'All Scores'!$A$3:$A$51,$A4),2)</f>
        <v>3.8</v>
      </c>
      <c r="F4" s="21" t="n">
        <f aca="false">ROUND(AVERAGEIFS('All Scores'!$G$3:$G$51,'All Scores'!$A$3:$A$51,$A4),2)</f>
        <v>1.8</v>
      </c>
      <c r="G4" s="21" t="n">
        <f aca="false">ROUND(AVERAGEIFS('All Scores'!$H$3:$H$51,'All Scores'!$A$3:$A$51,$A4),2)</f>
        <v>2.8</v>
      </c>
      <c r="H4" s="26" t="n">
        <f aca="false">ROUND(AVERAGEIFS('All Scores'!$I$3:$I$51,'All Scores'!$A$3:$A$51,$A4),2)</f>
        <v>4</v>
      </c>
      <c r="I4" s="26" t="n">
        <f aca="false">ROUND(AVERAGEIFS('All Scores'!$J$3:$J$51,'All Scores'!$A$3:$A$51,$A4),2)</f>
        <v>3</v>
      </c>
      <c r="J4" s="26" t="n">
        <f aca="false">ROUND(AVERAGEIFS('All Scores'!$K$3:$K$51,'All Scores'!$A$3:$A$51,$A4),2)</f>
        <v>3.28</v>
      </c>
      <c r="K4" s="27" t="n">
        <f aca="false">ROUND(INDEX('All Scores'!$K$3:$K$51,MATCH($A4,'All Scores'!$A$3:$A$51,0)+COUNTIF('All Scores'!$A$3:$A$51,$A4)-1)-INDEX('All Scores'!$K$3:$K$51,MATCH($A4,'All Scores'!$A$3:$A$51,0)),2)</f>
        <v>0.35</v>
      </c>
    </row>
    <row r="5" customFormat="false" ht="18" hidden="false" customHeight="true" outlineLevel="0" collapsed="false">
      <c r="A5" s="19" t="s">
        <v>62</v>
      </c>
      <c r="B5" s="20" t="s">
        <v>63</v>
      </c>
      <c r="C5" s="19" t="n">
        <f aca="false">COUNTIF('All Scores'!$A$3:$A$51,$A5)</f>
        <v>5</v>
      </c>
      <c r="D5" s="26" t="n">
        <f aca="false">ROUND(AVERAGEIFS('All Scores'!$E$3:$E$51,'All Scores'!$A$3:$A$51,$A5),2)</f>
        <v>3.4</v>
      </c>
      <c r="E5" s="26" t="n">
        <f aca="false">ROUND(AVERAGEIFS('All Scores'!$F$3:$F$51,'All Scores'!$A$3:$A$51,$A5),2)</f>
        <v>4</v>
      </c>
      <c r="F5" s="22" t="n">
        <f aca="false">ROUND(AVERAGEIFS('All Scores'!$G$3:$G$51,'All Scores'!$A$3:$A$51,$A5),2)</f>
        <v>0</v>
      </c>
      <c r="G5" s="28" t="n">
        <f aca="false">ROUND(AVERAGEIFS('All Scores'!$H$3:$H$51,'All Scores'!$A$3:$A$51,$A5),2)</f>
        <v>-2</v>
      </c>
      <c r="H5" s="21" t="n">
        <f aca="false">ROUND(AVERAGEIFS('All Scores'!$I$3:$I$51,'All Scores'!$A$3:$A$51,$A5),2)</f>
        <v>2.6</v>
      </c>
      <c r="I5" s="26" t="n">
        <f aca="false">ROUND(AVERAGEIFS('All Scores'!$J$3:$J$51,'All Scores'!$A$3:$A$51,$A5),2)</f>
        <v>3.8</v>
      </c>
      <c r="J5" s="21" t="n">
        <f aca="false">ROUND(AVERAGEIFS('All Scores'!$K$3:$K$51,'All Scores'!$A$3:$A$51,$A5),2)</f>
        <v>1.92</v>
      </c>
      <c r="K5" s="23" t="n">
        <f aca="false">ROUND(INDEX('All Scores'!$K$3:$K$51,MATCH($A5,'All Scores'!$A$3:$A$51,0)+COUNTIF('All Scores'!$A$3:$A$51,$A5)-1)-INDEX('All Scores'!$K$3:$K$51,MATCH($A5,'All Scores'!$A$3:$A$51,0)),2)</f>
        <v>1.4</v>
      </c>
    </row>
    <row r="6" customFormat="false" ht="18" hidden="false" customHeight="true" outlineLevel="0" collapsed="false">
      <c r="A6" s="24" t="s">
        <v>64</v>
      </c>
      <c r="B6" s="25" t="s">
        <v>65</v>
      </c>
      <c r="C6" s="24" t="n">
        <f aca="false">COUNTIF('All Scores'!$A$3:$A$51,$A6)</f>
        <v>5</v>
      </c>
      <c r="D6" s="26" t="n">
        <f aca="false">ROUND(AVERAGEIFS('All Scores'!$E$3:$E$51,'All Scores'!$A$3:$A$51,$A6),2)</f>
        <v>3.6</v>
      </c>
      <c r="E6" s="26" t="n">
        <f aca="false">ROUND(AVERAGEIFS('All Scores'!$F$3:$F$51,'All Scores'!$A$3:$A$51,$A6),2)</f>
        <v>3.4</v>
      </c>
      <c r="F6" s="21" t="n">
        <f aca="false">ROUND(AVERAGEIFS('All Scores'!$G$3:$G$51,'All Scores'!$A$3:$A$51,$A6),2)</f>
        <v>1.6</v>
      </c>
      <c r="G6" s="22" t="n">
        <f aca="false">ROUND(AVERAGEIFS('All Scores'!$H$3:$H$51,'All Scores'!$A$3:$A$51,$A6),2)</f>
        <v>-0.8</v>
      </c>
      <c r="H6" s="26" t="n">
        <f aca="false">ROUND(AVERAGEIFS('All Scores'!$I$3:$I$51,'All Scores'!$A$3:$A$51,$A6),2)</f>
        <v>4</v>
      </c>
      <c r="I6" s="21" t="n">
        <f aca="false">ROUND(AVERAGEIFS('All Scores'!$J$3:$J$51,'All Scores'!$A$3:$A$51,$A6),2)</f>
        <v>2.6</v>
      </c>
      <c r="J6" s="21" t="n">
        <f aca="false">ROUND(AVERAGEIFS('All Scores'!$K$3:$K$51,'All Scores'!$A$3:$A$51,$A6),2)</f>
        <v>2.31</v>
      </c>
      <c r="K6" s="27" t="n">
        <f aca="false">ROUND(INDEX('All Scores'!$K$3:$K$51,MATCH($A6,'All Scores'!$A$3:$A$51,0)+COUNTIF('All Scores'!$A$3:$A$51,$A6)-1)-INDEX('All Scores'!$K$3:$K$51,MATCH($A6,'All Scores'!$A$3:$A$51,0)),2)</f>
        <v>-0.2</v>
      </c>
    </row>
    <row r="7" customFormat="false" ht="18" hidden="false" customHeight="true" outlineLevel="0" collapsed="false">
      <c r="A7" s="19" t="s">
        <v>66</v>
      </c>
      <c r="B7" s="20" t="s">
        <v>67</v>
      </c>
      <c r="C7" s="19" t="n">
        <f aca="false">COUNTIF('All Scores'!$A$3:$A$51,$A7)</f>
        <v>4</v>
      </c>
      <c r="D7" s="26" t="n">
        <f aca="false">ROUND(AVERAGEIFS('All Scores'!$E$3:$E$51,'All Scores'!$A$3:$A$51,$A7),2)</f>
        <v>3</v>
      </c>
      <c r="E7" s="21" t="n">
        <f aca="false">ROUND(AVERAGEIFS('All Scores'!$F$3:$F$51,'All Scores'!$A$3:$A$51,$A7),2)</f>
        <v>1.25</v>
      </c>
      <c r="F7" s="22" t="n">
        <f aca="false">ROUND(AVERAGEIFS('All Scores'!$G$3:$G$51,'All Scores'!$A$3:$A$51,$A7),2)</f>
        <v>-1</v>
      </c>
      <c r="G7" s="21" t="n">
        <f aca="false">ROUND(AVERAGEIFS('All Scores'!$H$3:$H$51,'All Scores'!$A$3:$A$51,$A7),2)</f>
        <v>2</v>
      </c>
      <c r="H7" s="26" t="n">
        <f aca="false">ROUND(AVERAGEIFS('All Scores'!$I$3:$I$51,'All Scores'!$A$3:$A$51,$A7),2)</f>
        <v>3.25</v>
      </c>
      <c r="I7" s="26" t="n">
        <f aca="false">ROUND(AVERAGEIFS('All Scores'!$J$3:$J$51,'All Scores'!$A$3:$A$51,$A7),2)</f>
        <v>3</v>
      </c>
      <c r="J7" s="21" t="n">
        <f aca="false">ROUND(AVERAGEIFS('All Scores'!$K$3:$K$51,'All Scores'!$A$3:$A$51,$A7),2)</f>
        <v>1.79</v>
      </c>
      <c r="K7" s="23" t="n">
        <f aca="false">ROUND(INDEX('All Scores'!$K$3:$K$51,MATCH($A7,'All Scores'!$A$3:$A$51,0)+COUNTIF('All Scores'!$A$3:$A$51,$A7)-1)-INDEX('All Scores'!$K$3:$K$51,MATCH($A7,'All Scores'!$A$3:$A$51,0)),2)</f>
        <v>0.2</v>
      </c>
    </row>
    <row r="8" customFormat="false" ht="18" hidden="false" customHeight="true" outlineLevel="0" collapsed="false">
      <c r="A8" s="24" t="s">
        <v>68</v>
      </c>
      <c r="B8" s="25" t="s">
        <v>69</v>
      </c>
      <c r="C8" s="24" t="n">
        <f aca="false">COUNTIF('All Scores'!$A$3:$A$51,$A8)</f>
        <v>5</v>
      </c>
      <c r="D8" s="21" t="n">
        <f aca="false">ROUND(AVERAGEIFS('All Scores'!$E$3:$E$51,'All Scores'!$A$3:$A$51,$A8),2)</f>
        <v>2.2</v>
      </c>
      <c r="E8" s="22" t="n">
        <f aca="false">ROUND(AVERAGEIFS('All Scores'!$F$3:$F$51,'All Scores'!$A$3:$A$51,$A8),2)</f>
        <v>0</v>
      </c>
      <c r="F8" s="28" t="n">
        <f aca="false">ROUND(AVERAGEIFS('All Scores'!$G$3:$G$51,'All Scores'!$A$3:$A$51,$A8),2)</f>
        <v>-2</v>
      </c>
      <c r="G8" s="22" t="n">
        <f aca="false">ROUND(AVERAGEIFS('All Scores'!$H$3:$H$51,'All Scores'!$A$3:$A$51,$A8),2)</f>
        <v>0.2</v>
      </c>
      <c r="H8" s="21" t="n">
        <f aca="false">ROUND(AVERAGEIFS('All Scores'!$I$3:$I$51,'All Scores'!$A$3:$A$51,$A8),2)</f>
        <v>2.2</v>
      </c>
      <c r="I8" s="21" t="n">
        <f aca="false">ROUND(AVERAGEIFS('All Scores'!$J$3:$J$51,'All Scores'!$A$3:$A$51,$A8),2)</f>
        <v>1.4</v>
      </c>
      <c r="J8" s="22" t="n">
        <f aca="false">ROUND(AVERAGEIFS('All Scores'!$K$3:$K$51,'All Scores'!$A$3:$A$51,$A8),2)</f>
        <v>0.54</v>
      </c>
      <c r="K8" s="27" t="n">
        <f aca="false">ROUND(INDEX('All Scores'!$K$3:$K$51,MATCH($A8,'All Scores'!$A$3:$A$51,0)+COUNTIF('All Scores'!$A$3:$A$51,$A8)-1)-INDEX('All Scores'!$K$3:$K$51,MATCH($A8,'All Scores'!$A$3:$A$51,0)),2)</f>
        <v>-0.65</v>
      </c>
    </row>
    <row r="9" customFormat="false" ht="18" hidden="false" customHeight="true" outlineLevel="0" collapsed="false">
      <c r="A9" s="19" t="s">
        <v>70</v>
      </c>
      <c r="B9" s="20" t="s">
        <v>71</v>
      </c>
      <c r="C9" s="19" t="n">
        <f aca="false">COUNTIF('All Scores'!$A$3:$A$51,$A9)</f>
        <v>5</v>
      </c>
      <c r="D9" s="26" t="n">
        <f aca="false">ROUND(AVERAGEIFS('All Scores'!$E$3:$E$51,'All Scores'!$A$3:$A$51,$A9),2)</f>
        <v>3.8</v>
      </c>
      <c r="E9" s="26" t="n">
        <f aca="false">ROUND(AVERAGEIFS('All Scores'!$F$3:$F$51,'All Scores'!$A$3:$A$51,$A9),2)</f>
        <v>4</v>
      </c>
      <c r="F9" s="29" t="n">
        <f aca="false">ROUND(AVERAGEIFS('All Scores'!$G$3:$G$51,'All Scores'!$A$3:$A$51,$A9),2)</f>
        <v>-3.2</v>
      </c>
      <c r="G9" s="28" t="n">
        <f aca="false">ROUND(AVERAGEIFS('All Scores'!$H$3:$H$51,'All Scores'!$A$3:$A$51,$A9),2)</f>
        <v>-2.4</v>
      </c>
      <c r="H9" s="26" t="n">
        <f aca="false">ROUND(AVERAGEIFS('All Scores'!$I$3:$I$51,'All Scores'!$A$3:$A$51,$A9),2)</f>
        <v>4</v>
      </c>
      <c r="I9" s="26" t="n">
        <f aca="false">ROUND(AVERAGEIFS('All Scores'!$J$3:$J$51,'All Scores'!$A$3:$A$51,$A9),2)</f>
        <v>4</v>
      </c>
      <c r="J9" s="21" t="n">
        <f aca="false">ROUND(AVERAGEIFS('All Scores'!$K$3:$K$51,'All Scores'!$A$3:$A$51,$A9),2)</f>
        <v>1.6</v>
      </c>
      <c r="K9" s="23" t="n">
        <f aca="false">ROUND(INDEX('All Scores'!$K$3:$K$51,MATCH($A9,'All Scores'!$A$3:$A$51,0)+COUNTIF('All Scores'!$A$3:$A$51,$A9)-1)-INDEX('All Scores'!$K$3:$K$51,MATCH($A9,'All Scores'!$A$3:$A$51,0)),2)</f>
        <v>0.15</v>
      </c>
    </row>
    <row r="10" customFormat="false" ht="18" hidden="false" customHeight="true" outlineLevel="0" collapsed="false">
      <c r="A10" s="24" t="s">
        <v>72</v>
      </c>
      <c r="B10" s="25" t="s">
        <v>73</v>
      </c>
      <c r="C10" s="24" t="n">
        <f aca="false">COUNTIF('All Scores'!$A$3:$A$51,$A10)</f>
        <v>5</v>
      </c>
      <c r="D10" s="26" t="n">
        <f aca="false">ROUND(AVERAGEIFS('All Scores'!$E$3:$E$51,'All Scores'!$A$3:$A$51,$A10),2)</f>
        <v>4</v>
      </c>
      <c r="E10" s="26" t="n">
        <f aca="false">ROUND(AVERAGEIFS('All Scores'!$F$3:$F$51,'All Scores'!$A$3:$A$51,$A10),2)</f>
        <v>4</v>
      </c>
      <c r="F10" s="28" t="n">
        <f aca="false">ROUND(AVERAGEIFS('All Scores'!$G$3:$G$51,'All Scores'!$A$3:$A$51,$A10),2)</f>
        <v>-2.4</v>
      </c>
      <c r="G10" s="28" t="n">
        <f aca="false">ROUND(AVERAGEIFS('All Scores'!$H$3:$H$51,'All Scores'!$A$3:$A$51,$A10),2)</f>
        <v>-1.4</v>
      </c>
      <c r="H10" s="26" t="n">
        <f aca="false">ROUND(AVERAGEIFS('All Scores'!$I$3:$I$51,'All Scores'!$A$3:$A$51,$A10),2)</f>
        <v>4</v>
      </c>
      <c r="I10" s="26" t="n">
        <f aca="false">ROUND(AVERAGEIFS('All Scores'!$J$3:$J$51,'All Scores'!$A$3:$A$51,$A10),2)</f>
        <v>4</v>
      </c>
      <c r="J10" s="21" t="n">
        <f aca="false">ROUND(AVERAGEIFS('All Scores'!$K$3:$K$51,'All Scores'!$A$3:$A$51,$A10),2)</f>
        <v>1.96</v>
      </c>
      <c r="K10" s="27" t="n">
        <f aca="false">ROUND(INDEX('All Scores'!$K$3:$K$51,MATCH($A10,'All Scores'!$A$3:$A$51,0)+COUNTIF('All Scores'!$A$3:$A$51,$A10)-1)-INDEX('All Scores'!$K$3:$K$51,MATCH($A10,'All Scores'!$A$3:$A$51,0)),2)</f>
        <v>0</v>
      </c>
    </row>
    <row r="11" customFormat="false" ht="18" hidden="false" customHeight="true" outlineLevel="0" collapsed="false">
      <c r="A11" s="19" t="s">
        <v>74</v>
      </c>
      <c r="B11" s="20" t="s">
        <v>75</v>
      </c>
      <c r="C11" s="19" t="n">
        <f aca="false">COUNTIF('All Scores'!$A$3:$A$51,$A11)</f>
        <v>5</v>
      </c>
      <c r="D11" s="21" t="n">
        <f aca="false">ROUND(AVERAGEIFS('All Scores'!$E$3:$E$51,'All Scores'!$A$3:$A$51,$A11),2)</f>
        <v>2.6</v>
      </c>
      <c r="E11" s="21" t="n">
        <f aca="false">ROUND(AVERAGEIFS('All Scores'!$F$3:$F$51,'All Scores'!$A$3:$A$51,$A11),2)</f>
        <v>2.6</v>
      </c>
      <c r="F11" s="21" t="n">
        <f aca="false">ROUND(AVERAGEIFS('All Scores'!$G$3:$G$51,'All Scores'!$A$3:$A$51,$A11),2)</f>
        <v>2</v>
      </c>
      <c r="G11" s="26" t="n">
        <f aca="false">ROUND(AVERAGEIFS('All Scores'!$H$3:$H$51,'All Scores'!$A$3:$A$51,$A11),2)</f>
        <v>3.8</v>
      </c>
      <c r="H11" s="21" t="n">
        <f aca="false">ROUND(AVERAGEIFS('All Scores'!$I$3:$I$51,'All Scores'!$A$3:$A$51,$A11),2)</f>
        <v>1</v>
      </c>
      <c r="I11" s="21" t="n">
        <f aca="false">ROUND(AVERAGEIFS('All Scores'!$J$3:$J$51,'All Scores'!$A$3:$A$51,$A11),2)</f>
        <v>2.8</v>
      </c>
      <c r="J11" s="21" t="n">
        <f aca="false">ROUND(AVERAGEIFS('All Scores'!$K$3:$K$51,'All Scores'!$A$3:$A$51,$A11),2)</f>
        <v>2.61</v>
      </c>
      <c r="K11" s="23" t="n">
        <f aca="false">ROUND(INDEX('All Scores'!$K$3:$K$51,MATCH($A11,'All Scores'!$A$3:$A$51,0)+COUNTIF('All Scores'!$A$3:$A$51,$A11)-1)-INDEX('All Scores'!$K$3:$K$51,MATCH($A11,'All Scores'!$A$3:$A$51,0)),2)</f>
        <v>-0.8</v>
      </c>
    </row>
    <row r="12" customFormat="false" ht="18" hidden="false" customHeight="true" outlineLevel="0" collapsed="false">
      <c r="A12" s="24" t="s">
        <v>76</v>
      </c>
      <c r="B12" s="25" t="s">
        <v>77</v>
      </c>
      <c r="C12" s="24" t="n">
        <f aca="false">COUNTIF('All Scores'!$A$3:$A$51,$A12)</f>
        <v>5</v>
      </c>
      <c r="D12" s="26" t="n">
        <f aca="false">ROUND(AVERAGEIFS('All Scores'!$E$3:$E$51,'All Scores'!$A$3:$A$51,$A12),2)</f>
        <v>3.8</v>
      </c>
      <c r="E12" s="26" t="n">
        <f aca="false">ROUND(AVERAGEIFS('All Scores'!$F$3:$F$51,'All Scores'!$A$3:$A$51,$A12),2)</f>
        <v>3</v>
      </c>
      <c r="F12" s="26" t="n">
        <f aca="false">ROUND(AVERAGEIFS('All Scores'!$G$3:$G$51,'All Scores'!$A$3:$A$51,$A12),2)</f>
        <v>3.6</v>
      </c>
      <c r="G12" s="26" t="n">
        <f aca="false">ROUND(AVERAGEIFS('All Scores'!$H$3:$H$51,'All Scores'!$A$3:$A$51,$A12),2)</f>
        <v>4</v>
      </c>
      <c r="H12" s="26" t="n">
        <f aca="false">ROUND(AVERAGEIFS('All Scores'!$I$3:$I$51,'All Scores'!$A$3:$A$51,$A12),2)</f>
        <v>3</v>
      </c>
      <c r="I12" s="26" t="n">
        <f aca="false">ROUND(AVERAGEIFS('All Scores'!$J$3:$J$51,'All Scores'!$A$3:$A$51,$A12),2)</f>
        <v>3</v>
      </c>
      <c r="J12" s="26" t="n">
        <f aca="false">ROUND(AVERAGEIFS('All Scores'!$K$3:$K$51,'All Scores'!$A$3:$A$51,$A12),2)</f>
        <v>3.45</v>
      </c>
      <c r="K12" s="27" t="n">
        <f aca="false">ROUND(INDEX('All Scores'!$K$3:$K$51,MATCH($A12,'All Scores'!$A$3:$A$51,0)+COUNTIF('All Scores'!$A$3:$A$51,$A12)-1)-INDEX('All Scores'!$K$3:$K$51,MATCH($A12,'All Scores'!$A$3:$A$51,0)),2)</f>
        <v>-0.1</v>
      </c>
    </row>
    <row r="13" customFormat="false" ht="18" hidden="false" customHeight="true" outlineLevel="0" collapsed="false">
      <c r="A13" s="19" t="s">
        <v>78</v>
      </c>
      <c r="B13" s="20"/>
      <c r="C13" s="19"/>
      <c r="D13" s="19"/>
      <c r="E13" s="19"/>
      <c r="F13" s="19"/>
      <c r="G13" s="19"/>
      <c r="H13" s="19"/>
      <c r="I13" s="19"/>
      <c r="J13" s="19"/>
      <c r="K13" s="19"/>
    </row>
    <row r="14" customFormat="false" ht="18" hidden="false" customHeight="true" outlineLevel="0" collapsed="false">
      <c r="A14" s="24" t="s">
        <v>79</v>
      </c>
      <c r="B14" s="25" t="s">
        <v>80</v>
      </c>
      <c r="C14" s="24" t="s">
        <v>81</v>
      </c>
      <c r="D14" s="19" t="s">
        <v>82</v>
      </c>
      <c r="E14" s="19"/>
      <c r="F14" s="19"/>
      <c r="G14" s="19"/>
      <c r="H14" s="19"/>
      <c r="I14" s="19"/>
      <c r="J14" s="19"/>
      <c r="K14" s="24"/>
    </row>
    <row r="16" customFormat="false" ht="15" hidden="false" customHeight="false" outlineLevel="0" collapsed="false">
      <c r="A16" s="17"/>
      <c r="B16" s="30"/>
      <c r="C16" s="30"/>
      <c r="D16" s="30"/>
      <c r="E16" s="30"/>
      <c r="F16" s="30"/>
      <c r="G16" s="30"/>
      <c r="H16" s="30"/>
      <c r="I16" s="30"/>
      <c r="J16" s="30"/>
      <c r="K16" s="30"/>
    </row>
    <row r="17" customFormat="false" ht="15" hidden="false" customHeight="false" outlineLevel="0" collapsed="false">
      <c r="A17" s="31"/>
      <c r="B17" s="31"/>
      <c r="C17" s="31"/>
      <c r="D17" s="31"/>
      <c r="E17" s="30"/>
      <c r="F17" s="30"/>
      <c r="G17" s="30"/>
      <c r="H17" s="30"/>
      <c r="I17" s="30"/>
      <c r="J17" s="30"/>
      <c r="K17" s="30"/>
    </row>
  </sheetData>
  <mergeCells count="1">
    <mergeCell ref="A1:K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M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4" activePane="bottomLeft" state="frozen"/>
      <selection pane="topLeft" activeCell="A1" activeCellId="0" sqref="A1"/>
      <selection pane="bottomLeft" activeCell="F6" activeCellId="0" sqref="F6"/>
    </sheetView>
  </sheetViews>
  <sheetFormatPr defaultColWidth="8.83203125" defaultRowHeight="15"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5" min="3" style="0" width="11"/>
    <col collapsed="false" customWidth="true" hidden="false" outlineLevel="0" max="7" min="6" style="0" width="13"/>
    <col collapsed="false" customWidth="true" hidden="false" outlineLevel="0" max="8" min="8" style="0" width="12"/>
    <col collapsed="false" customWidth="true" hidden="false" outlineLevel="0" max="9" min="9" style="0" width="11"/>
    <col collapsed="false" customWidth="true" hidden="false" outlineLevel="0" max="11" min="10" style="0" width="12"/>
    <col collapsed="false" customWidth="true" hidden="false" outlineLevel="0" max="13" min="12" style="0" width="36"/>
  </cols>
  <sheetData>
    <row r="1" customFormat="false" ht="31.5" hidden="false" customHeight="true" outlineLevel="0" collapsed="false">
      <c r="A1" s="18" t="s">
        <v>83</v>
      </c>
      <c r="B1" s="18"/>
      <c r="C1" s="18"/>
      <c r="D1" s="18"/>
      <c r="E1" s="18"/>
      <c r="F1" s="18"/>
      <c r="G1" s="18"/>
      <c r="H1" s="18"/>
      <c r="I1" s="18"/>
      <c r="J1" s="18"/>
      <c r="K1" s="18"/>
      <c r="L1" s="18"/>
      <c r="M1" s="18"/>
    </row>
    <row r="2" customFormat="false" ht="39.75" hidden="false" customHeight="true" outlineLevel="0" collapsed="false">
      <c r="A2" s="4" t="s">
        <v>47</v>
      </c>
      <c r="B2" s="4" t="s">
        <v>48</v>
      </c>
      <c r="C2" s="4" t="s">
        <v>84</v>
      </c>
      <c r="D2" s="4" t="s">
        <v>85</v>
      </c>
      <c r="E2" s="4" t="s">
        <v>86</v>
      </c>
      <c r="F2" s="4" t="s">
        <v>87</v>
      </c>
      <c r="G2" s="4" t="s">
        <v>88</v>
      </c>
      <c r="H2" s="4" t="s">
        <v>89</v>
      </c>
      <c r="I2" s="4" t="s">
        <v>90</v>
      </c>
      <c r="J2" s="4" t="s">
        <v>91</v>
      </c>
      <c r="K2" s="4" t="s">
        <v>92</v>
      </c>
      <c r="L2" s="4" t="s">
        <v>93</v>
      </c>
      <c r="M2" s="4" t="s">
        <v>94</v>
      </c>
    </row>
    <row r="3" customFormat="false" ht="30" hidden="false" customHeight="true" outlineLevel="0" collapsed="false">
      <c r="A3" s="19" t="s">
        <v>58</v>
      </c>
      <c r="B3" s="20" t="s">
        <v>59</v>
      </c>
      <c r="C3" s="19" t="s">
        <v>95</v>
      </c>
      <c r="D3" s="19" t="s">
        <v>96</v>
      </c>
      <c r="E3" s="21" t="n">
        <v>2</v>
      </c>
      <c r="F3" s="21" t="n">
        <v>1</v>
      </c>
      <c r="G3" s="22" t="n">
        <v>0</v>
      </c>
      <c r="H3" s="21" t="n">
        <v>1</v>
      </c>
      <c r="I3" s="21" t="n">
        <v>1</v>
      </c>
      <c r="J3" s="22" t="n">
        <v>0</v>
      </c>
      <c r="K3" s="32" t="n">
        <f aca="false">ROUND('About This Plugin'!$D$6*E3+'About This Plugin'!$D$7*F3+'About This Plugin'!$D$8*G3+'About This Plugin'!$D$9*H3+'About This Plugin'!$D$10*I3+'About This Plugin'!$D$11*J3,2)</f>
        <v>0.95</v>
      </c>
      <c r="L3" s="33" t="s">
        <v>97</v>
      </c>
      <c r="M3" s="33" t="s">
        <v>98</v>
      </c>
    </row>
    <row r="4" customFormat="false" ht="30" hidden="false" customHeight="true" outlineLevel="0" collapsed="false">
      <c r="A4" s="19" t="s">
        <v>58</v>
      </c>
      <c r="B4" s="20" t="s">
        <v>59</v>
      </c>
      <c r="C4" s="19" t="s">
        <v>99</v>
      </c>
      <c r="D4" s="19" t="s">
        <v>100</v>
      </c>
      <c r="E4" s="21" t="n">
        <v>1</v>
      </c>
      <c r="F4" s="22" t="n">
        <v>0</v>
      </c>
      <c r="G4" s="22" t="n">
        <v>-1</v>
      </c>
      <c r="H4" s="22" t="n">
        <v>0</v>
      </c>
      <c r="I4" s="22" t="n">
        <v>0</v>
      </c>
      <c r="J4" s="22" t="n">
        <v>0</v>
      </c>
      <c r="K4" s="32" t="n">
        <f aca="false">ROUND('About This Plugin'!$D$6*E4+'About This Plugin'!$D$7*F4+'About This Plugin'!$D$8*G4+'About This Plugin'!$D$9*H4+'About This Plugin'!$D$10*I4+'About This Plugin'!$D$11*J4,2)</f>
        <v>0.05</v>
      </c>
      <c r="L4" s="33" t="s">
        <v>101</v>
      </c>
      <c r="M4" s="33" t="s">
        <v>102</v>
      </c>
    </row>
    <row r="5" customFormat="false" ht="30" hidden="false" customHeight="true" outlineLevel="0" collapsed="false">
      <c r="A5" s="19" t="s">
        <v>58</v>
      </c>
      <c r="B5" s="20" t="s">
        <v>59</v>
      </c>
      <c r="C5" s="19" t="s">
        <v>103</v>
      </c>
      <c r="D5" s="19" t="s">
        <v>104</v>
      </c>
      <c r="E5" s="26" t="n">
        <v>3</v>
      </c>
      <c r="F5" s="21" t="n">
        <v>2</v>
      </c>
      <c r="G5" s="21" t="n">
        <v>1</v>
      </c>
      <c r="H5" s="21" t="n">
        <v>2</v>
      </c>
      <c r="I5" s="21" t="n">
        <v>2</v>
      </c>
      <c r="J5" s="21" t="n">
        <v>1</v>
      </c>
      <c r="K5" s="34" t="n">
        <f aca="false">ROUND('About This Plugin'!$D$6*E5+'About This Plugin'!$D$7*F5+'About This Plugin'!$D$8*G5+'About This Plugin'!$D$9*H5+'About This Plugin'!$D$10*I5+'About This Plugin'!$D$11*J5,2)</f>
        <v>1.95</v>
      </c>
      <c r="L5" s="33" t="s">
        <v>105</v>
      </c>
      <c r="M5" s="33" t="s">
        <v>106</v>
      </c>
    </row>
    <row r="6" customFormat="false" ht="30" hidden="false" customHeight="true" outlineLevel="0" collapsed="false">
      <c r="A6" s="19" t="s">
        <v>58</v>
      </c>
      <c r="B6" s="20" t="s">
        <v>59</v>
      </c>
      <c r="C6" s="19" t="s">
        <v>107</v>
      </c>
      <c r="D6" s="19" t="s">
        <v>108</v>
      </c>
      <c r="E6" s="26" t="n">
        <v>4</v>
      </c>
      <c r="F6" s="26" t="n">
        <v>3</v>
      </c>
      <c r="G6" s="21" t="n">
        <v>2</v>
      </c>
      <c r="H6" s="26" t="n">
        <v>3</v>
      </c>
      <c r="I6" s="26" t="n">
        <v>3</v>
      </c>
      <c r="J6" s="21" t="n">
        <v>2</v>
      </c>
      <c r="K6" s="34" t="n">
        <f aca="false">ROUND('About This Plugin'!$D$6*E6+'About This Plugin'!$D$7*F6+'About This Plugin'!$D$8*G6+'About This Plugin'!$D$9*H6+'About This Plugin'!$D$10*I6+'About This Plugin'!$D$11*J6,2)</f>
        <v>2.95</v>
      </c>
      <c r="L6" s="33" t="s">
        <v>109</v>
      </c>
      <c r="M6" s="33" t="s">
        <v>110</v>
      </c>
    </row>
    <row r="7" customFormat="false" ht="30" hidden="false" customHeight="true" outlineLevel="0" collapsed="false">
      <c r="A7" s="19" t="s">
        <v>58</v>
      </c>
      <c r="B7" s="20" t="s">
        <v>59</v>
      </c>
      <c r="C7" s="19" t="s">
        <v>111</v>
      </c>
      <c r="D7" s="19" t="s">
        <v>112</v>
      </c>
      <c r="E7" s="26" t="n">
        <v>4</v>
      </c>
      <c r="F7" s="26" t="n">
        <v>4</v>
      </c>
      <c r="G7" s="21" t="n">
        <v>2</v>
      </c>
      <c r="H7" s="26" t="n">
        <v>3</v>
      </c>
      <c r="I7" s="26" t="n">
        <v>4</v>
      </c>
      <c r="J7" s="21" t="n">
        <v>2</v>
      </c>
      <c r="K7" s="35" t="n">
        <f aca="false">ROUND('About This Plugin'!$D$6*E7+'About This Plugin'!$D$7*F7+'About This Plugin'!$D$8*G7+'About This Plugin'!$D$9*H7+'About This Plugin'!$D$10*I7+'About This Plugin'!$D$11*J7,2)</f>
        <v>3.3</v>
      </c>
      <c r="L7" s="33" t="s">
        <v>113</v>
      </c>
      <c r="M7" s="33" t="s">
        <v>114</v>
      </c>
    </row>
    <row r="8" customFormat="false" ht="30" hidden="false" customHeight="true" outlineLevel="0" collapsed="false">
      <c r="A8" s="24" t="s">
        <v>60</v>
      </c>
      <c r="B8" s="25" t="s">
        <v>61</v>
      </c>
      <c r="C8" s="24" t="s">
        <v>95</v>
      </c>
      <c r="D8" s="24" t="s">
        <v>115</v>
      </c>
      <c r="E8" s="26" t="n">
        <v>4</v>
      </c>
      <c r="F8" s="26" t="n">
        <v>3</v>
      </c>
      <c r="G8" s="21" t="n">
        <v>2</v>
      </c>
      <c r="H8" s="26" t="n">
        <v>3</v>
      </c>
      <c r="I8" s="26" t="n">
        <v>4</v>
      </c>
      <c r="J8" s="26" t="n">
        <v>3</v>
      </c>
      <c r="K8" s="35" t="n">
        <f aca="false">ROUND('About This Plugin'!$D$6*E8+'About This Plugin'!$D$7*F8+'About This Plugin'!$D$8*G8+'About This Plugin'!$D$9*H8+'About This Plugin'!$D$10*I8+'About This Plugin'!$D$11*J8,2)</f>
        <v>3.15</v>
      </c>
      <c r="L8" s="6" t="s">
        <v>116</v>
      </c>
      <c r="M8" s="6" t="s">
        <v>117</v>
      </c>
    </row>
    <row r="9" customFormat="false" ht="30" hidden="false" customHeight="true" outlineLevel="0" collapsed="false">
      <c r="A9" s="24" t="s">
        <v>60</v>
      </c>
      <c r="B9" s="25" t="s">
        <v>61</v>
      </c>
      <c r="C9" s="24" t="s">
        <v>99</v>
      </c>
      <c r="D9" s="24" t="s">
        <v>118</v>
      </c>
      <c r="E9" s="26" t="n">
        <v>4</v>
      </c>
      <c r="F9" s="26" t="n">
        <v>4</v>
      </c>
      <c r="G9" s="21" t="n">
        <v>2</v>
      </c>
      <c r="H9" s="26" t="n">
        <v>3</v>
      </c>
      <c r="I9" s="26" t="n">
        <v>3</v>
      </c>
      <c r="J9" s="26" t="n">
        <v>3</v>
      </c>
      <c r="K9" s="35" t="n">
        <f aca="false">ROUND('About This Plugin'!$D$6*E9+'About This Plugin'!$D$7*F9+'About This Plugin'!$D$8*G9+'About This Plugin'!$D$9*H9+'About This Plugin'!$D$10*I9+'About This Plugin'!$D$11*J9,2)</f>
        <v>3.3</v>
      </c>
      <c r="L9" s="6" t="s">
        <v>119</v>
      </c>
      <c r="M9" s="6" t="s">
        <v>120</v>
      </c>
    </row>
    <row r="10" customFormat="false" ht="30" hidden="false" customHeight="true" outlineLevel="0" collapsed="false">
      <c r="A10" s="24" t="s">
        <v>60</v>
      </c>
      <c r="B10" s="25" t="s">
        <v>61</v>
      </c>
      <c r="C10" s="24" t="s">
        <v>103</v>
      </c>
      <c r="D10" s="24" t="s">
        <v>121</v>
      </c>
      <c r="E10" s="26" t="n">
        <v>4</v>
      </c>
      <c r="F10" s="26" t="n">
        <v>4</v>
      </c>
      <c r="G10" s="21" t="n">
        <v>1</v>
      </c>
      <c r="H10" s="21" t="n">
        <v>2</v>
      </c>
      <c r="I10" s="26" t="n">
        <v>4</v>
      </c>
      <c r="J10" s="26" t="n">
        <v>3</v>
      </c>
      <c r="K10" s="35" t="n">
        <f aca="false">ROUND('About This Plugin'!$D$6*E10+'About This Plugin'!$D$7*F10+'About This Plugin'!$D$8*G10+'About This Plugin'!$D$9*H10+'About This Plugin'!$D$10*I10+'About This Plugin'!$D$11*J10,2)</f>
        <v>3.05</v>
      </c>
      <c r="L10" s="6" t="s">
        <v>122</v>
      </c>
      <c r="M10" s="6" t="s">
        <v>123</v>
      </c>
    </row>
    <row r="11" customFormat="false" ht="30" hidden="false" customHeight="true" outlineLevel="0" collapsed="false">
      <c r="A11" s="24" t="s">
        <v>60</v>
      </c>
      <c r="B11" s="25" t="s">
        <v>61</v>
      </c>
      <c r="C11" s="24" t="s">
        <v>107</v>
      </c>
      <c r="D11" s="24" t="s">
        <v>124</v>
      </c>
      <c r="E11" s="26" t="n">
        <v>4</v>
      </c>
      <c r="F11" s="26" t="n">
        <v>4</v>
      </c>
      <c r="G11" s="21" t="n">
        <v>2</v>
      </c>
      <c r="H11" s="26" t="n">
        <v>3</v>
      </c>
      <c r="I11" s="26" t="n">
        <v>4</v>
      </c>
      <c r="J11" s="26" t="n">
        <v>3</v>
      </c>
      <c r="K11" s="35" t="n">
        <f aca="false">ROUND('About This Plugin'!$D$6*E11+'About This Plugin'!$D$7*F11+'About This Plugin'!$D$8*G11+'About This Plugin'!$D$9*H11+'About This Plugin'!$D$10*I11+'About This Plugin'!$D$11*J11,2)</f>
        <v>3.4</v>
      </c>
      <c r="L11" s="6" t="s">
        <v>125</v>
      </c>
      <c r="M11" s="6" t="s">
        <v>126</v>
      </c>
    </row>
    <row r="12" customFormat="false" ht="30" hidden="false" customHeight="true" outlineLevel="0" collapsed="false">
      <c r="A12" s="24" t="s">
        <v>60</v>
      </c>
      <c r="B12" s="25" t="s">
        <v>61</v>
      </c>
      <c r="C12" s="24" t="s">
        <v>111</v>
      </c>
      <c r="D12" s="24" t="s">
        <v>127</v>
      </c>
      <c r="E12" s="26" t="n">
        <v>4</v>
      </c>
      <c r="F12" s="26" t="n">
        <v>4</v>
      </c>
      <c r="G12" s="21" t="n">
        <v>2</v>
      </c>
      <c r="H12" s="26" t="n">
        <v>3</v>
      </c>
      <c r="I12" s="26" t="n">
        <v>5</v>
      </c>
      <c r="J12" s="26" t="n">
        <v>3</v>
      </c>
      <c r="K12" s="35" t="n">
        <f aca="false">ROUND('About This Plugin'!$D$6*E12+'About This Plugin'!$D$7*F12+'About This Plugin'!$D$8*G12+'About This Plugin'!$D$9*H12+'About This Plugin'!$D$10*I12+'About This Plugin'!$D$11*J12,2)</f>
        <v>3.5</v>
      </c>
      <c r="L12" s="6" t="s">
        <v>128</v>
      </c>
      <c r="M12" s="6" t="s">
        <v>129</v>
      </c>
    </row>
    <row r="13" customFormat="false" ht="30" hidden="false" customHeight="true" outlineLevel="0" collapsed="false">
      <c r="A13" s="19" t="s">
        <v>62</v>
      </c>
      <c r="B13" s="20" t="s">
        <v>63</v>
      </c>
      <c r="C13" s="19" t="s">
        <v>95</v>
      </c>
      <c r="D13" s="19" t="s">
        <v>100</v>
      </c>
      <c r="E13" s="26" t="n">
        <v>4</v>
      </c>
      <c r="F13" s="26" t="n">
        <v>4</v>
      </c>
      <c r="G13" s="22" t="n">
        <v>0</v>
      </c>
      <c r="H13" s="28" t="n">
        <v>-3</v>
      </c>
      <c r="I13" s="21" t="n">
        <v>2</v>
      </c>
      <c r="J13" s="26" t="n">
        <v>4</v>
      </c>
      <c r="K13" s="34" t="n">
        <f aca="false">ROUND('About This Plugin'!$D$6*E13+'About This Plugin'!$D$7*F13+'About This Plugin'!$D$8*G13+'About This Plugin'!$D$9*H13+'About This Plugin'!$D$10*I13+'About This Plugin'!$D$11*J13,2)</f>
        <v>1.8</v>
      </c>
      <c r="L13" s="33" t="s">
        <v>130</v>
      </c>
      <c r="M13" s="33" t="s">
        <v>131</v>
      </c>
    </row>
    <row r="14" customFormat="false" ht="30" hidden="false" customHeight="true" outlineLevel="0" collapsed="false">
      <c r="A14" s="19" t="s">
        <v>62</v>
      </c>
      <c r="B14" s="20" t="s">
        <v>63</v>
      </c>
      <c r="C14" s="19" t="s">
        <v>99</v>
      </c>
      <c r="D14" s="19" t="s">
        <v>132</v>
      </c>
      <c r="E14" s="26" t="n">
        <v>3</v>
      </c>
      <c r="F14" s="26" t="n">
        <v>4</v>
      </c>
      <c r="G14" s="28" t="n">
        <v>-2</v>
      </c>
      <c r="H14" s="28" t="n">
        <v>-2</v>
      </c>
      <c r="I14" s="21" t="n">
        <v>2</v>
      </c>
      <c r="J14" s="26" t="n">
        <v>3</v>
      </c>
      <c r="K14" s="34" t="n">
        <f aca="false">ROUND('About This Plugin'!$D$6*E14+'About This Plugin'!$D$7*F14+'About This Plugin'!$D$8*G14+'About This Plugin'!$D$9*H14+'About This Plugin'!$D$10*I14+'About This Plugin'!$D$11*J14,2)</f>
        <v>1.4</v>
      </c>
      <c r="L14" s="33" t="s">
        <v>133</v>
      </c>
      <c r="M14" s="33" t="s">
        <v>134</v>
      </c>
    </row>
    <row r="15" customFormat="false" ht="30" hidden="false" customHeight="true" outlineLevel="0" collapsed="false">
      <c r="A15" s="19" t="s">
        <v>62</v>
      </c>
      <c r="B15" s="20" t="s">
        <v>63</v>
      </c>
      <c r="C15" s="19" t="s">
        <v>103</v>
      </c>
      <c r="D15" s="19" t="s">
        <v>121</v>
      </c>
      <c r="E15" s="26" t="n">
        <v>3</v>
      </c>
      <c r="F15" s="26" t="n">
        <v>4</v>
      </c>
      <c r="G15" s="28" t="n">
        <v>-2</v>
      </c>
      <c r="H15" s="28" t="n">
        <v>-3</v>
      </c>
      <c r="I15" s="21" t="n">
        <v>2</v>
      </c>
      <c r="J15" s="26" t="n">
        <v>4</v>
      </c>
      <c r="K15" s="34" t="n">
        <f aca="false">ROUND('About This Plugin'!$D$6*E15+'About This Plugin'!$D$7*F15+'About This Plugin'!$D$8*G15+'About This Plugin'!$D$9*H15+'About This Plugin'!$D$10*I15+'About This Plugin'!$D$11*J15,2)</f>
        <v>1.3</v>
      </c>
      <c r="L15" s="33" t="s">
        <v>135</v>
      </c>
      <c r="M15" s="33" t="s">
        <v>136</v>
      </c>
    </row>
    <row r="16" customFormat="false" ht="30" hidden="false" customHeight="true" outlineLevel="0" collapsed="false">
      <c r="A16" s="19" t="s">
        <v>62</v>
      </c>
      <c r="B16" s="20" t="s">
        <v>63</v>
      </c>
      <c r="C16" s="19" t="s">
        <v>107</v>
      </c>
      <c r="D16" s="19" t="s">
        <v>137</v>
      </c>
      <c r="E16" s="26" t="n">
        <v>3</v>
      </c>
      <c r="F16" s="26" t="n">
        <v>4</v>
      </c>
      <c r="G16" s="21" t="n">
        <v>2</v>
      </c>
      <c r="H16" s="28" t="n">
        <v>-3</v>
      </c>
      <c r="I16" s="21" t="n">
        <v>2</v>
      </c>
      <c r="J16" s="26" t="n">
        <v>4</v>
      </c>
      <c r="K16" s="34" t="n">
        <f aca="false">ROUND('About This Plugin'!$D$6*E16+'About This Plugin'!$D$7*F16+'About This Plugin'!$D$8*G16+'About This Plugin'!$D$9*H16+'About This Plugin'!$D$10*I16+'About This Plugin'!$D$11*J16,2)</f>
        <v>1.9</v>
      </c>
      <c r="L16" s="33" t="s">
        <v>138</v>
      </c>
      <c r="M16" s="33" t="s">
        <v>139</v>
      </c>
    </row>
    <row r="17" customFormat="false" ht="30" hidden="false" customHeight="true" outlineLevel="0" collapsed="false">
      <c r="A17" s="19" t="s">
        <v>62</v>
      </c>
      <c r="B17" s="20" t="s">
        <v>63</v>
      </c>
      <c r="C17" s="19" t="s">
        <v>111</v>
      </c>
      <c r="D17" s="19" t="s">
        <v>140</v>
      </c>
      <c r="E17" s="26" t="n">
        <v>4</v>
      </c>
      <c r="F17" s="26" t="n">
        <v>4</v>
      </c>
      <c r="G17" s="21" t="n">
        <v>2</v>
      </c>
      <c r="H17" s="21" t="n">
        <v>1</v>
      </c>
      <c r="I17" s="26" t="n">
        <v>5</v>
      </c>
      <c r="J17" s="26" t="n">
        <v>4</v>
      </c>
      <c r="K17" s="35" t="n">
        <f aca="false">ROUND('About This Plugin'!$D$6*E17+'About This Plugin'!$D$7*F17+'About This Plugin'!$D$8*G17+'About This Plugin'!$D$9*H17+'About This Plugin'!$D$10*I17+'About This Plugin'!$D$11*J17,2)</f>
        <v>3.2</v>
      </c>
      <c r="L17" s="33" t="s">
        <v>141</v>
      </c>
      <c r="M17" s="33" t="s">
        <v>142</v>
      </c>
    </row>
    <row r="18" customFormat="false" ht="30" hidden="false" customHeight="true" outlineLevel="0" collapsed="false">
      <c r="A18" s="24" t="s">
        <v>64</v>
      </c>
      <c r="B18" s="25" t="s">
        <v>65</v>
      </c>
      <c r="C18" s="24" t="s">
        <v>95</v>
      </c>
      <c r="D18" s="24" t="s">
        <v>143</v>
      </c>
      <c r="E18" s="26" t="n">
        <v>4</v>
      </c>
      <c r="F18" s="26" t="n">
        <v>4</v>
      </c>
      <c r="G18" s="22" t="n">
        <v>0</v>
      </c>
      <c r="H18" s="21" t="n">
        <v>1</v>
      </c>
      <c r="I18" s="21" t="n">
        <v>2</v>
      </c>
      <c r="J18" s="26" t="n">
        <v>3</v>
      </c>
      <c r="K18" s="34" t="n">
        <f aca="false">ROUND('About This Plugin'!$D$6*E18+'About This Plugin'!$D$7*F18+'About This Plugin'!$D$8*G18+'About This Plugin'!$D$9*H18+'About This Plugin'!$D$10*I18+'About This Plugin'!$D$11*J18,2)</f>
        <v>2.5</v>
      </c>
      <c r="L18" s="6" t="s">
        <v>144</v>
      </c>
      <c r="M18" s="6" t="s">
        <v>145</v>
      </c>
    </row>
    <row r="19" customFormat="false" ht="30" hidden="false" customHeight="true" outlineLevel="0" collapsed="false">
      <c r="A19" s="24" t="s">
        <v>64</v>
      </c>
      <c r="B19" s="25" t="s">
        <v>65</v>
      </c>
      <c r="C19" s="24" t="s">
        <v>99</v>
      </c>
      <c r="D19" s="24" t="s">
        <v>146</v>
      </c>
      <c r="E19" s="26" t="n">
        <v>4</v>
      </c>
      <c r="F19" s="21" t="n">
        <v>1</v>
      </c>
      <c r="G19" s="21" t="n">
        <v>2</v>
      </c>
      <c r="H19" s="21" t="n">
        <v>1</v>
      </c>
      <c r="I19" s="26" t="n">
        <v>4</v>
      </c>
      <c r="J19" s="21" t="n">
        <v>2</v>
      </c>
      <c r="K19" s="34" t="n">
        <f aca="false">ROUND('About This Plugin'!$D$6*E19+'About This Plugin'!$D$7*F19+'About This Plugin'!$D$8*G19+'About This Plugin'!$D$9*H19+'About This Plugin'!$D$10*I19+'About This Plugin'!$D$11*J19,2)</f>
        <v>2.15</v>
      </c>
      <c r="L19" s="6" t="s">
        <v>147</v>
      </c>
      <c r="M19" s="6" t="s">
        <v>148</v>
      </c>
    </row>
    <row r="20" customFormat="false" ht="30" hidden="false" customHeight="true" outlineLevel="0" collapsed="false">
      <c r="A20" s="24" t="s">
        <v>64</v>
      </c>
      <c r="B20" s="25" t="s">
        <v>65</v>
      </c>
      <c r="C20" s="24" t="s">
        <v>103</v>
      </c>
      <c r="D20" s="24" t="s">
        <v>149</v>
      </c>
      <c r="E20" s="26" t="n">
        <v>3</v>
      </c>
      <c r="F20" s="26" t="n">
        <v>4</v>
      </c>
      <c r="G20" s="26" t="n">
        <v>4</v>
      </c>
      <c r="H20" s="28" t="n">
        <v>-2</v>
      </c>
      <c r="I20" s="26" t="n">
        <v>5</v>
      </c>
      <c r="J20" s="26" t="n">
        <v>3</v>
      </c>
      <c r="K20" s="34" t="n">
        <f aca="false">ROUND('About This Plugin'!$D$6*E20+'About This Plugin'!$D$7*F20+'About This Plugin'!$D$8*G20+'About This Plugin'!$D$9*H20+'About This Plugin'!$D$10*I20+'About This Plugin'!$D$11*J20,2)</f>
        <v>2.6</v>
      </c>
      <c r="L20" s="6" t="s">
        <v>150</v>
      </c>
      <c r="M20" s="6" t="s">
        <v>151</v>
      </c>
    </row>
    <row r="21" customFormat="false" ht="30" hidden="false" customHeight="true" outlineLevel="0" collapsed="false">
      <c r="A21" s="24" t="s">
        <v>64</v>
      </c>
      <c r="B21" s="25" t="s">
        <v>65</v>
      </c>
      <c r="C21" s="24" t="s">
        <v>107</v>
      </c>
      <c r="D21" s="24" t="s">
        <v>152</v>
      </c>
      <c r="E21" s="26" t="n">
        <v>4</v>
      </c>
      <c r="F21" s="26" t="n">
        <v>4</v>
      </c>
      <c r="G21" s="22" t="n">
        <v>0</v>
      </c>
      <c r="H21" s="28" t="n">
        <v>-2</v>
      </c>
      <c r="I21" s="26" t="n">
        <v>4</v>
      </c>
      <c r="J21" s="21" t="n">
        <v>2</v>
      </c>
      <c r="K21" s="34" t="n">
        <f aca="false">ROUND('About This Plugin'!$D$6*E21+'About This Plugin'!$D$7*F21+'About This Plugin'!$D$8*G21+'About This Plugin'!$D$9*H21+'About This Plugin'!$D$10*I21+'About This Plugin'!$D$11*J21,2)</f>
        <v>2</v>
      </c>
      <c r="L21" s="6" t="s">
        <v>153</v>
      </c>
      <c r="M21" s="6" t="s">
        <v>154</v>
      </c>
    </row>
    <row r="22" customFormat="false" ht="30" hidden="false" customHeight="true" outlineLevel="0" collapsed="false">
      <c r="A22" s="24" t="s">
        <v>64</v>
      </c>
      <c r="B22" s="25" t="s">
        <v>65</v>
      </c>
      <c r="C22" s="24" t="s">
        <v>111</v>
      </c>
      <c r="D22" s="24" t="s">
        <v>155</v>
      </c>
      <c r="E22" s="26" t="n">
        <v>3</v>
      </c>
      <c r="F22" s="26" t="n">
        <v>4</v>
      </c>
      <c r="G22" s="21" t="n">
        <v>2</v>
      </c>
      <c r="H22" s="28" t="n">
        <v>-2</v>
      </c>
      <c r="I22" s="26" t="n">
        <v>5</v>
      </c>
      <c r="J22" s="26" t="n">
        <v>3</v>
      </c>
      <c r="K22" s="34" t="n">
        <f aca="false">ROUND('About This Plugin'!$D$6*E22+'About This Plugin'!$D$7*F22+'About This Plugin'!$D$8*G22+'About This Plugin'!$D$9*H22+'About This Plugin'!$D$10*I22+'About This Plugin'!$D$11*J22,2)</f>
        <v>2.3</v>
      </c>
      <c r="L22" s="6" t="s">
        <v>156</v>
      </c>
      <c r="M22" s="6" t="s">
        <v>157</v>
      </c>
    </row>
    <row r="23" customFormat="false" ht="30" hidden="false" customHeight="true" outlineLevel="0" collapsed="false">
      <c r="A23" s="19" t="s">
        <v>66</v>
      </c>
      <c r="B23" s="20" t="s">
        <v>67</v>
      </c>
      <c r="C23" s="19" t="s">
        <v>99</v>
      </c>
      <c r="D23" s="19" t="s">
        <v>158</v>
      </c>
      <c r="E23" s="26" t="n">
        <v>3</v>
      </c>
      <c r="F23" s="21" t="n">
        <v>1</v>
      </c>
      <c r="G23" s="22" t="n">
        <v>-1</v>
      </c>
      <c r="H23" s="21" t="n">
        <v>2</v>
      </c>
      <c r="I23" s="26" t="n">
        <v>3</v>
      </c>
      <c r="J23" s="26" t="n">
        <v>3</v>
      </c>
      <c r="K23" s="34" t="n">
        <f aca="false">ROUND('About This Plugin'!$D$6*E23+'About This Plugin'!$D$7*F23+'About This Plugin'!$D$8*G23+'About This Plugin'!$D$9*H23+'About This Plugin'!$D$10*I23+'About This Plugin'!$D$11*J23,2)</f>
        <v>1.7</v>
      </c>
      <c r="L23" s="33" t="s">
        <v>159</v>
      </c>
      <c r="M23" s="33" t="s">
        <v>160</v>
      </c>
    </row>
    <row r="24" customFormat="false" ht="30" hidden="false" customHeight="true" outlineLevel="0" collapsed="false">
      <c r="A24" s="19" t="s">
        <v>66</v>
      </c>
      <c r="B24" s="20" t="s">
        <v>67</v>
      </c>
      <c r="C24" s="19" t="s">
        <v>103</v>
      </c>
      <c r="D24" s="19" t="s">
        <v>161</v>
      </c>
      <c r="E24" s="26" t="n">
        <v>3</v>
      </c>
      <c r="F24" s="21" t="n">
        <v>1</v>
      </c>
      <c r="G24" s="22" t="n">
        <v>0</v>
      </c>
      <c r="H24" s="21" t="n">
        <v>2</v>
      </c>
      <c r="I24" s="26" t="n">
        <v>3</v>
      </c>
      <c r="J24" s="26" t="n">
        <v>3</v>
      </c>
      <c r="K24" s="34" t="n">
        <f aca="false">ROUND('About This Plugin'!$D$6*E24+'About This Plugin'!$D$7*F24+'About This Plugin'!$D$8*G24+'About This Plugin'!$D$9*H24+'About This Plugin'!$D$10*I24+'About This Plugin'!$D$11*J24,2)</f>
        <v>1.85</v>
      </c>
      <c r="L24" s="33" t="s">
        <v>162</v>
      </c>
      <c r="M24" s="33" t="s">
        <v>163</v>
      </c>
    </row>
    <row r="25" customFormat="false" ht="30" hidden="false" customHeight="true" outlineLevel="0" collapsed="false">
      <c r="A25" s="19" t="s">
        <v>66</v>
      </c>
      <c r="B25" s="20" t="s">
        <v>67</v>
      </c>
      <c r="C25" s="19" t="s">
        <v>107</v>
      </c>
      <c r="D25" s="19" t="s">
        <v>137</v>
      </c>
      <c r="E25" s="26" t="n">
        <v>3</v>
      </c>
      <c r="F25" s="21" t="n">
        <v>1</v>
      </c>
      <c r="G25" s="22" t="n">
        <v>-1</v>
      </c>
      <c r="H25" s="21" t="n">
        <v>2</v>
      </c>
      <c r="I25" s="26" t="n">
        <v>3</v>
      </c>
      <c r="J25" s="26" t="n">
        <v>3</v>
      </c>
      <c r="K25" s="34" t="n">
        <f aca="false">ROUND('About This Plugin'!$D$6*E25+'About This Plugin'!$D$7*F25+'About This Plugin'!$D$8*G25+'About This Plugin'!$D$9*H25+'About This Plugin'!$D$10*I25+'About This Plugin'!$D$11*J25,2)</f>
        <v>1.7</v>
      </c>
      <c r="L25" s="33" t="s">
        <v>164</v>
      </c>
      <c r="M25" s="33" t="s">
        <v>165</v>
      </c>
    </row>
    <row r="26" customFormat="false" ht="30" hidden="false" customHeight="true" outlineLevel="0" collapsed="false">
      <c r="A26" s="19" t="s">
        <v>66</v>
      </c>
      <c r="B26" s="20" t="s">
        <v>67</v>
      </c>
      <c r="C26" s="19" t="s">
        <v>111</v>
      </c>
      <c r="D26" s="19" t="s">
        <v>166</v>
      </c>
      <c r="E26" s="26" t="n">
        <v>3</v>
      </c>
      <c r="F26" s="21" t="n">
        <v>2</v>
      </c>
      <c r="G26" s="28" t="n">
        <v>-2</v>
      </c>
      <c r="H26" s="21" t="n">
        <v>2</v>
      </c>
      <c r="I26" s="26" t="n">
        <v>4</v>
      </c>
      <c r="J26" s="26" t="n">
        <v>3</v>
      </c>
      <c r="K26" s="34" t="n">
        <f aca="false">ROUND('About This Plugin'!$D$6*E26+'About This Plugin'!$D$7*F26+'About This Plugin'!$D$8*G26+'About This Plugin'!$D$9*H26+'About This Plugin'!$D$10*I26+'About This Plugin'!$D$11*J26,2)</f>
        <v>1.9</v>
      </c>
      <c r="L26" s="33" t="s">
        <v>167</v>
      </c>
      <c r="M26" s="33" t="s">
        <v>168</v>
      </c>
    </row>
    <row r="27" customFormat="false" ht="30" hidden="false" customHeight="true" outlineLevel="0" collapsed="false">
      <c r="A27" s="24" t="s">
        <v>68</v>
      </c>
      <c r="B27" s="25" t="s">
        <v>69</v>
      </c>
      <c r="C27" s="24" t="s">
        <v>95</v>
      </c>
      <c r="D27" s="24" t="s">
        <v>169</v>
      </c>
      <c r="E27" s="21" t="n">
        <v>2</v>
      </c>
      <c r="F27" s="22" t="n">
        <v>0</v>
      </c>
      <c r="G27" s="28" t="n">
        <v>-2</v>
      </c>
      <c r="H27" s="21" t="n">
        <v>1</v>
      </c>
      <c r="I27" s="21" t="n">
        <v>2</v>
      </c>
      <c r="J27" s="21" t="n">
        <v>2</v>
      </c>
      <c r="K27" s="32" t="n">
        <f aca="false">ROUND('About This Plugin'!$D$6*E27+'About This Plugin'!$D$7*F27+'About This Plugin'!$D$8*G27+'About This Plugin'!$D$9*H27+'About This Plugin'!$D$10*I27+'About This Plugin'!$D$11*J27,2)</f>
        <v>0.7</v>
      </c>
      <c r="L27" s="6" t="s">
        <v>170</v>
      </c>
      <c r="M27" s="6" t="s">
        <v>171</v>
      </c>
    </row>
    <row r="28" customFormat="false" ht="30" hidden="false" customHeight="true" outlineLevel="0" collapsed="false">
      <c r="A28" s="24" t="s">
        <v>68</v>
      </c>
      <c r="B28" s="25" t="s">
        <v>69</v>
      </c>
      <c r="C28" s="24" t="s">
        <v>99</v>
      </c>
      <c r="D28" s="24" t="s">
        <v>172</v>
      </c>
      <c r="E28" s="26" t="n">
        <v>3</v>
      </c>
      <c r="F28" s="21" t="n">
        <v>1</v>
      </c>
      <c r="G28" s="22" t="n">
        <v>0</v>
      </c>
      <c r="H28" s="21" t="n">
        <v>1</v>
      </c>
      <c r="I28" s="26" t="n">
        <v>3</v>
      </c>
      <c r="J28" s="21" t="n">
        <v>2</v>
      </c>
      <c r="K28" s="34" t="n">
        <f aca="false">ROUND('About This Plugin'!$D$6*E28+'About This Plugin'!$D$7*F28+'About This Plugin'!$D$8*G28+'About This Plugin'!$D$9*H28+'About This Plugin'!$D$10*I28+'About This Plugin'!$D$11*J28,2)</f>
        <v>1.55</v>
      </c>
      <c r="L28" s="6" t="s">
        <v>173</v>
      </c>
      <c r="M28" s="6" t="s">
        <v>174</v>
      </c>
    </row>
    <row r="29" customFormat="false" ht="30" hidden="false" customHeight="true" outlineLevel="0" collapsed="false">
      <c r="A29" s="24" t="s">
        <v>68</v>
      </c>
      <c r="B29" s="25" t="s">
        <v>69</v>
      </c>
      <c r="C29" s="24" t="s">
        <v>103</v>
      </c>
      <c r="D29" s="24" t="s">
        <v>175</v>
      </c>
      <c r="E29" s="21" t="n">
        <v>2</v>
      </c>
      <c r="F29" s="22" t="n">
        <v>-1</v>
      </c>
      <c r="G29" s="28" t="n">
        <v>-2</v>
      </c>
      <c r="H29" s="22" t="n">
        <v>0</v>
      </c>
      <c r="I29" s="21" t="n">
        <v>2</v>
      </c>
      <c r="J29" s="21" t="n">
        <v>1</v>
      </c>
      <c r="K29" s="32" t="n">
        <f aca="false">ROUND('About This Plugin'!$D$6*E29+'About This Plugin'!$D$7*F29+'About This Plugin'!$D$8*G29+'About This Plugin'!$D$9*H29+'About This Plugin'!$D$10*I29+'About This Plugin'!$D$11*J29,2)</f>
        <v>0.15</v>
      </c>
      <c r="L29" s="6" t="s">
        <v>176</v>
      </c>
      <c r="M29" s="6" t="s">
        <v>177</v>
      </c>
    </row>
    <row r="30" customFormat="false" ht="30" hidden="false" customHeight="true" outlineLevel="0" collapsed="false">
      <c r="A30" s="24" t="s">
        <v>68</v>
      </c>
      <c r="B30" s="25" t="s">
        <v>69</v>
      </c>
      <c r="C30" s="24" t="s">
        <v>107</v>
      </c>
      <c r="D30" s="24" t="s">
        <v>178</v>
      </c>
      <c r="E30" s="21" t="n">
        <v>2</v>
      </c>
      <c r="F30" s="22" t="n">
        <v>0</v>
      </c>
      <c r="G30" s="28" t="n">
        <v>-3</v>
      </c>
      <c r="H30" s="22" t="n">
        <v>0</v>
      </c>
      <c r="I30" s="21" t="n">
        <v>2</v>
      </c>
      <c r="J30" s="21" t="n">
        <v>1</v>
      </c>
      <c r="K30" s="32" t="n">
        <f aca="false">ROUND('About This Plugin'!$D$6*E30+'About This Plugin'!$D$7*F30+'About This Plugin'!$D$8*G30+'About This Plugin'!$D$9*H30+'About This Plugin'!$D$10*I30+'About This Plugin'!$D$11*J30,2)</f>
        <v>0.25</v>
      </c>
      <c r="L30" s="6" t="s">
        <v>179</v>
      </c>
      <c r="M30" s="6" t="s">
        <v>180</v>
      </c>
    </row>
    <row r="31" customFormat="false" ht="30" hidden="false" customHeight="true" outlineLevel="0" collapsed="false">
      <c r="A31" s="24" t="s">
        <v>68</v>
      </c>
      <c r="B31" s="25" t="s">
        <v>69</v>
      </c>
      <c r="C31" s="24" t="s">
        <v>111</v>
      </c>
      <c r="D31" s="24" t="s">
        <v>181</v>
      </c>
      <c r="E31" s="21" t="n">
        <v>2</v>
      </c>
      <c r="F31" s="22" t="n">
        <v>0</v>
      </c>
      <c r="G31" s="28" t="n">
        <v>-3</v>
      </c>
      <c r="H31" s="22" t="n">
        <v>-1</v>
      </c>
      <c r="I31" s="21" t="n">
        <v>2</v>
      </c>
      <c r="J31" s="21" t="n">
        <v>1</v>
      </c>
      <c r="K31" s="32" t="n">
        <f aca="false">ROUND('About This Plugin'!$D$6*E31+'About This Plugin'!$D$7*F31+'About This Plugin'!$D$8*G31+'About This Plugin'!$D$9*H31+'About This Plugin'!$D$10*I31+'About This Plugin'!$D$11*J31,2)</f>
        <v>0.05</v>
      </c>
      <c r="L31" s="6" t="s">
        <v>182</v>
      </c>
      <c r="M31" s="6" t="s">
        <v>183</v>
      </c>
    </row>
    <row r="32" customFormat="false" ht="30" hidden="false" customHeight="true" outlineLevel="0" collapsed="false">
      <c r="A32" s="19" t="s">
        <v>70</v>
      </c>
      <c r="B32" s="20" t="s">
        <v>71</v>
      </c>
      <c r="C32" s="19" t="s">
        <v>95</v>
      </c>
      <c r="D32" s="19" t="s">
        <v>184</v>
      </c>
      <c r="E32" s="26" t="n">
        <v>4</v>
      </c>
      <c r="F32" s="26" t="n">
        <v>4</v>
      </c>
      <c r="G32" s="28" t="n">
        <v>-3</v>
      </c>
      <c r="H32" s="28" t="n">
        <v>-2</v>
      </c>
      <c r="I32" s="26" t="n">
        <v>4</v>
      </c>
      <c r="J32" s="26" t="n">
        <v>4</v>
      </c>
      <c r="K32" s="34" t="n">
        <f aca="false">ROUND('About This Plugin'!$D$6*E32+'About This Plugin'!$D$7*F32+'About This Plugin'!$D$8*G32+'About This Plugin'!$D$9*H32+'About This Plugin'!$D$10*I32+'About This Plugin'!$D$11*J32,2)</f>
        <v>1.75</v>
      </c>
      <c r="L32" s="33" t="s">
        <v>185</v>
      </c>
      <c r="M32" s="33" t="s">
        <v>186</v>
      </c>
    </row>
    <row r="33" customFormat="false" ht="30" hidden="false" customHeight="true" outlineLevel="0" collapsed="false">
      <c r="A33" s="19" t="s">
        <v>70</v>
      </c>
      <c r="B33" s="20" t="s">
        <v>71</v>
      </c>
      <c r="C33" s="19" t="s">
        <v>99</v>
      </c>
      <c r="D33" s="19" t="s">
        <v>104</v>
      </c>
      <c r="E33" s="26" t="n">
        <v>3</v>
      </c>
      <c r="F33" s="26" t="n">
        <v>4</v>
      </c>
      <c r="G33" s="29" t="n">
        <v>-4</v>
      </c>
      <c r="H33" s="28" t="n">
        <v>-3</v>
      </c>
      <c r="I33" s="26" t="n">
        <v>4</v>
      </c>
      <c r="J33" s="26" t="n">
        <v>4</v>
      </c>
      <c r="K33" s="34" t="n">
        <f aca="false">ROUND('About This Plugin'!$D$6*E33+'About This Plugin'!$D$7*F33+'About This Plugin'!$D$8*G33+'About This Plugin'!$D$9*H33+'About This Plugin'!$D$10*I33+'About This Plugin'!$D$11*J33,2)</f>
        <v>1.2</v>
      </c>
      <c r="L33" s="33" t="s">
        <v>187</v>
      </c>
      <c r="M33" s="33" t="s">
        <v>188</v>
      </c>
    </row>
    <row r="34" customFormat="false" ht="30" hidden="false" customHeight="true" outlineLevel="0" collapsed="false">
      <c r="A34" s="19" t="s">
        <v>70</v>
      </c>
      <c r="B34" s="20" t="s">
        <v>71</v>
      </c>
      <c r="C34" s="19" t="s">
        <v>103</v>
      </c>
      <c r="D34" s="19" t="s">
        <v>189</v>
      </c>
      <c r="E34" s="26" t="n">
        <v>4</v>
      </c>
      <c r="F34" s="26" t="n">
        <v>4</v>
      </c>
      <c r="G34" s="29" t="n">
        <v>-4</v>
      </c>
      <c r="H34" s="28" t="n">
        <v>-3</v>
      </c>
      <c r="I34" s="26" t="n">
        <v>4</v>
      </c>
      <c r="J34" s="26" t="n">
        <v>4</v>
      </c>
      <c r="K34" s="34" t="n">
        <f aca="false">ROUND('About This Plugin'!$D$6*E34+'About This Plugin'!$D$7*F34+'About This Plugin'!$D$8*G34+'About This Plugin'!$D$9*H34+'About This Plugin'!$D$10*I34+'About This Plugin'!$D$11*J34,2)</f>
        <v>1.4</v>
      </c>
      <c r="L34" s="33" t="s">
        <v>190</v>
      </c>
      <c r="M34" s="33" t="s">
        <v>191</v>
      </c>
    </row>
    <row r="35" customFormat="false" ht="30" hidden="false" customHeight="true" outlineLevel="0" collapsed="false">
      <c r="A35" s="19" t="s">
        <v>70</v>
      </c>
      <c r="B35" s="20" t="s">
        <v>71</v>
      </c>
      <c r="C35" s="19" t="s">
        <v>107</v>
      </c>
      <c r="D35" s="19" t="s">
        <v>192</v>
      </c>
      <c r="E35" s="26" t="n">
        <v>4</v>
      </c>
      <c r="F35" s="26" t="n">
        <v>4</v>
      </c>
      <c r="G35" s="28" t="n">
        <v>-3</v>
      </c>
      <c r="H35" s="28" t="n">
        <v>-2</v>
      </c>
      <c r="I35" s="26" t="n">
        <v>4</v>
      </c>
      <c r="J35" s="26" t="n">
        <v>4</v>
      </c>
      <c r="K35" s="34" t="n">
        <f aca="false">ROUND('About This Plugin'!$D$6*E35+'About This Plugin'!$D$7*F35+'About This Plugin'!$D$8*G35+'About This Plugin'!$D$9*H35+'About This Plugin'!$D$10*I35+'About This Plugin'!$D$11*J35,2)</f>
        <v>1.75</v>
      </c>
      <c r="L35" s="33" t="s">
        <v>193</v>
      </c>
      <c r="M35" s="33" t="s">
        <v>194</v>
      </c>
    </row>
    <row r="36" customFormat="false" ht="30" hidden="false" customHeight="true" outlineLevel="0" collapsed="false">
      <c r="A36" s="19" t="s">
        <v>70</v>
      </c>
      <c r="B36" s="20" t="s">
        <v>71</v>
      </c>
      <c r="C36" s="19" t="s">
        <v>111</v>
      </c>
      <c r="D36" s="19" t="s">
        <v>195</v>
      </c>
      <c r="E36" s="26" t="n">
        <v>4</v>
      </c>
      <c r="F36" s="26" t="n">
        <v>4</v>
      </c>
      <c r="G36" s="28" t="n">
        <v>-2</v>
      </c>
      <c r="H36" s="28" t="n">
        <v>-2</v>
      </c>
      <c r="I36" s="26" t="n">
        <v>4</v>
      </c>
      <c r="J36" s="26" t="n">
        <v>4</v>
      </c>
      <c r="K36" s="34" t="n">
        <f aca="false">ROUND('About This Plugin'!$D$6*E36+'About This Plugin'!$D$7*F36+'About This Plugin'!$D$8*G36+'About This Plugin'!$D$9*H36+'About This Plugin'!$D$10*I36+'About This Plugin'!$D$11*J36,2)</f>
        <v>1.9</v>
      </c>
      <c r="L36" s="33" t="s">
        <v>196</v>
      </c>
      <c r="M36" s="33" t="s">
        <v>197</v>
      </c>
    </row>
    <row r="37" customFormat="false" ht="30" hidden="false" customHeight="true" outlineLevel="0" collapsed="false">
      <c r="A37" s="24" t="s">
        <v>72</v>
      </c>
      <c r="B37" s="25" t="s">
        <v>73</v>
      </c>
      <c r="C37" s="24" t="s">
        <v>95</v>
      </c>
      <c r="D37" s="24" t="s">
        <v>115</v>
      </c>
      <c r="E37" s="26" t="n">
        <v>4</v>
      </c>
      <c r="F37" s="26" t="n">
        <v>4</v>
      </c>
      <c r="G37" s="28" t="n">
        <v>-2</v>
      </c>
      <c r="H37" s="22" t="n">
        <v>0</v>
      </c>
      <c r="I37" s="26" t="n">
        <v>4</v>
      </c>
      <c r="J37" s="26" t="n">
        <v>4</v>
      </c>
      <c r="K37" s="34" t="n">
        <f aca="false">ROUND('About This Plugin'!$D$6*E37+'About This Plugin'!$D$7*F37+'About This Plugin'!$D$8*G37+'About This Plugin'!$D$9*H37+'About This Plugin'!$D$10*I37+'About This Plugin'!$D$11*J37,2)</f>
        <v>2.3</v>
      </c>
      <c r="L37" s="6" t="s">
        <v>198</v>
      </c>
      <c r="M37" s="6" t="s">
        <v>199</v>
      </c>
    </row>
    <row r="38" customFormat="false" ht="30" hidden="false" customHeight="true" outlineLevel="0" collapsed="false">
      <c r="A38" s="24" t="s">
        <v>72</v>
      </c>
      <c r="B38" s="25" t="s">
        <v>73</v>
      </c>
      <c r="C38" s="24" t="s">
        <v>99</v>
      </c>
      <c r="D38" s="24" t="s">
        <v>200</v>
      </c>
      <c r="E38" s="26" t="n">
        <v>4</v>
      </c>
      <c r="F38" s="26" t="n">
        <v>4</v>
      </c>
      <c r="G38" s="28" t="n">
        <v>-2</v>
      </c>
      <c r="H38" s="28" t="n">
        <v>-3</v>
      </c>
      <c r="I38" s="26" t="n">
        <v>4</v>
      </c>
      <c r="J38" s="26" t="n">
        <v>4</v>
      </c>
      <c r="K38" s="34" t="n">
        <f aca="false">ROUND('About This Plugin'!$D$6*E38+'About This Plugin'!$D$7*F38+'About This Plugin'!$D$8*G38+'About This Plugin'!$D$9*H38+'About This Plugin'!$D$10*I38+'About This Plugin'!$D$11*J38,2)</f>
        <v>1.7</v>
      </c>
      <c r="L38" s="6" t="s">
        <v>201</v>
      </c>
      <c r="M38" s="6" t="s">
        <v>199</v>
      </c>
    </row>
    <row r="39" customFormat="false" ht="30" hidden="false" customHeight="true" outlineLevel="0" collapsed="false">
      <c r="A39" s="24" t="s">
        <v>72</v>
      </c>
      <c r="B39" s="25" t="s">
        <v>73</v>
      </c>
      <c r="C39" s="24" t="s">
        <v>103</v>
      </c>
      <c r="D39" s="24" t="s">
        <v>121</v>
      </c>
      <c r="E39" s="26" t="n">
        <v>4</v>
      </c>
      <c r="F39" s="26" t="n">
        <v>4</v>
      </c>
      <c r="G39" s="28" t="n">
        <v>-2</v>
      </c>
      <c r="H39" s="28" t="n">
        <v>-2</v>
      </c>
      <c r="I39" s="26" t="n">
        <v>4</v>
      </c>
      <c r="J39" s="26" t="n">
        <v>4</v>
      </c>
      <c r="K39" s="34" t="n">
        <f aca="false">ROUND('About This Plugin'!$D$6*E39+'About This Plugin'!$D$7*F39+'About This Plugin'!$D$8*G39+'About This Plugin'!$D$9*H39+'About This Plugin'!$D$10*I39+'About This Plugin'!$D$11*J39,2)</f>
        <v>1.9</v>
      </c>
      <c r="L39" s="6" t="s">
        <v>202</v>
      </c>
      <c r="M39" s="6" t="s">
        <v>203</v>
      </c>
    </row>
    <row r="40" customFormat="false" ht="30" hidden="false" customHeight="true" outlineLevel="0" collapsed="false">
      <c r="A40" s="24" t="s">
        <v>72</v>
      </c>
      <c r="B40" s="25" t="s">
        <v>73</v>
      </c>
      <c r="C40" s="24" t="s">
        <v>107</v>
      </c>
      <c r="D40" s="24" t="s">
        <v>124</v>
      </c>
      <c r="E40" s="26" t="n">
        <v>4</v>
      </c>
      <c r="F40" s="26" t="n">
        <v>4</v>
      </c>
      <c r="G40" s="29" t="n">
        <v>-4</v>
      </c>
      <c r="H40" s="28" t="n">
        <v>-2</v>
      </c>
      <c r="I40" s="26" t="n">
        <v>4</v>
      </c>
      <c r="J40" s="26" t="n">
        <v>4</v>
      </c>
      <c r="K40" s="34" t="n">
        <f aca="false">ROUND('About This Plugin'!$D$6*E40+'About This Plugin'!$D$7*F40+'About This Plugin'!$D$8*G40+'About This Plugin'!$D$9*H40+'About This Plugin'!$D$10*I40+'About This Plugin'!$D$11*J40,2)</f>
        <v>1.6</v>
      </c>
      <c r="L40" s="6" t="s">
        <v>204</v>
      </c>
      <c r="M40" s="6" t="s">
        <v>199</v>
      </c>
    </row>
    <row r="41" customFormat="false" ht="30" hidden="false" customHeight="true" outlineLevel="0" collapsed="false">
      <c r="A41" s="24" t="s">
        <v>72</v>
      </c>
      <c r="B41" s="25" t="s">
        <v>73</v>
      </c>
      <c r="C41" s="24" t="s">
        <v>111</v>
      </c>
      <c r="D41" s="24" t="s">
        <v>127</v>
      </c>
      <c r="E41" s="26" t="n">
        <v>4</v>
      </c>
      <c r="F41" s="26" t="n">
        <v>4</v>
      </c>
      <c r="G41" s="28" t="n">
        <v>-2</v>
      </c>
      <c r="H41" s="22" t="n">
        <v>0</v>
      </c>
      <c r="I41" s="26" t="n">
        <v>4</v>
      </c>
      <c r="J41" s="26" t="n">
        <v>4</v>
      </c>
      <c r="K41" s="34" t="n">
        <f aca="false">ROUND('About This Plugin'!$D$6*E41+'About This Plugin'!$D$7*F41+'About This Plugin'!$D$8*G41+'About This Plugin'!$D$9*H41+'About This Plugin'!$D$10*I41+'About This Plugin'!$D$11*J41,2)</f>
        <v>2.3</v>
      </c>
      <c r="L41" s="6" t="s">
        <v>205</v>
      </c>
      <c r="M41" s="6" t="s">
        <v>199</v>
      </c>
    </row>
    <row r="42" customFormat="false" ht="30" hidden="false" customHeight="true" outlineLevel="0" collapsed="false">
      <c r="A42" s="19" t="s">
        <v>74</v>
      </c>
      <c r="B42" s="20" t="s">
        <v>75</v>
      </c>
      <c r="C42" s="19" t="s">
        <v>95</v>
      </c>
      <c r="D42" s="19" t="s">
        <v>206</v>
      </c>
      <c r="E42" s="26" t="n">
        <v>3</v>
      </c>
      <c r="F42" s="26" t="n">
        <v>3</v>
      </c>
      <c r="G42" s="26" t="n">
        <v>4</v>
      </c>
      <c r="H42" s="26" t="n">
        <v>4</v>
      </c>
      <c r="I42" s="21" t="n">
        <v>1</v>
      </c>
      <c r="J42" s="26" t="n">
        <v>3</v>
      </c>
      <c r="K42" s="35" t="n">
        <f aca="false">ROUND('About This Plugin'!$D$6*E42+'About This Plugin'!$D$7*F42+'About This Plugin'!$D$8*G42+'About This Plugin'!$D$9*H42+'About This Plugin'!$D$10*I42+'About This Plugin'!$D$11*J42,2)</f>
        <v>3.15</v>
      </c>
      <c r="L42" s="33" t="s">
        <v>207</v>
      </c>
      <c r="M42" s="33" t="s">
        <v>126</v>
      </c>
    </row>
    <row r="43" customFormat="false" ht="30" hidden="false" customHeight="true" outlineLevel="0" collapsed="false">
      <c r="A43" s="19" t="s">
        <v>74</v>
      </c>
      <c r="B43" s="20" t="s">
        <v>75</v>
      </c>
      <c r="C43" s="19" t="s">
        <v>99</v>
      </c>
      <c r="D43" s="19" t="s">
        <v>208</v>
      </c>
      <c r="E43" s="26" t="n">
        <v>3</v>
      </c>
      <c r="F43" s="26" t="n">
        <v>3</v>
      </c>
      <c r="G43" s="21" t="n">
        <v>2</v>
      </c>
      <c r="H43" s="26" t="n">
        <v>3</v>
      </c>
      <c r="I43" s="21" t="n">
        <v>1</v>
      </c>
      <c r="J43" s="21" t="n">
        <v>2</v>
      </c>
      <c r="K43" s="34" t="n">
        <f aca="false">ROUND('About This Plugin'!$D$6*E43+'About This Plugin'!$D$7*F43+'About This Plugin'!$D$8*G43+'About This Plugin'!$D$9*H43+'About This Plugin'!$D$10*I43+'About This Plugin'!$D$11*J43,2)</f>
        <v>2.55</v>
      </c>
      <c r="L43" s="33" t="s">
        <v>209</v>
      </c>
      <c r="M43" s="33" t="s">
        <v>126</v>
      </c>
    </row>
    <row r="44" customFormat="false" ht="30" hidden="false" customHeight="true" outlineLevel="0" collapsed="false">
      <c r="A44" s="19" t="s">
        <v>74</v>
      </c>
      <c r="B44" s="20" t="s">
        <v>75</v>
      </c>
      <c r="C44" s="19" t="s">
        <v>103</v>
      </c>
      <c r="D44" s="19" t="s">
        <v>210</v>
      </c>
      <c r="E44" s="26" t="n">
        <v>3</v>
      </c>
      <c r="F44" s="26" t="n">
        <v>3</v>
      </c>
      <c r="G44" s="22" t="n">
        <v>0</v>
      </c>
      <c r="H44" s="26" t="n">
        <v>4</v>
      </c>
      <c r="I44" s="21" t="n">
        <v>1</v>
      </c>
      <c r="J44" s="26" t="n">
        <v>3</v>
      </c>
      <c r="K44" s="34" t="n">
        <f aca="false">ROUND('About This Plugin'!$D$6*E44+'About This Plugin'!$D$7*F44+'About This Plugin'!$D$8*G44+'About This Plugin'!$D$9*H44+'About This Plugin'!$D$10*I44+'About This Plugin'!$D$11*J44,2)</f>
        <v>2.55</v>
      </c>
      <c r="L44" s="33" t="s">
        <v>211</v>
      </c>
      <c r="M44" s="33" t="s">
        <v>126</v>
      </c>
    </row>
    <row r="45" customFormat="false" ht="30" hidden="false" customHeight="true" outlineLevel="0" collapsed="false">
      <c r="A45" s="19" t="s">
        <v>74</v>
      </c>
      <c r="B45" s="20" t="s">
        <v>75</v>
      </c>
      <c r="C45" s="19" t="s">
        <v>107</v>
      </c>
      <c r="D45" s="19" t="s">
        <v>212</v>
      </c>
      <c r="E45" s="21" t="n">
        <v>1</v>
      </c>
      <c r="F45" s="26" t="n">
        <v>3</v>
      </c>
      <c r="G45" s="21" t="n">
        <v>2</v>
      </c>
      <c r="H45" s="26" t="n">
        <v>4</v>
      </c>
      <c r="I45" s="21" t="n">
        <v>1</v>
      </c>
      <c r="J45" s="26" t="n">
        <v>3</v>
      </c>
      <c r="K45" s="34" t="n">
        <f aca="false">ROUND('About This Plugin'!$D$6*E45+'About This Plugin'!$D$7*F45+'About This Plugin'!$D$8*G45+'About This Plugin'!$D$9*H45+'About This Plugin'!$D$10*I45+'About This Plugin'!$D$11*J45,2)</f>
        <v>2.45</v>
      </c>
      <c r="L45" s="33" t="s">
        <v>213</v>
      </c>
      <c r="M45" s="33" t="s">
        <v>214</v>
      </c>
    </row>
    <row r="46" customFormat="false" ht="30" hidden="false" customHeight="true" outlineLevel="0" collapsed="false">
      <c r="A46" s="19" t="s">
        <v>74</v>
      </c>
      <c r="B46" s="20" t="s">
        <v>75</v>
      </c>
      <c r="C46" s="19" t="s">
        <v>111</v>
      </c>
      <c r="D46" s="19" t="s">
        <v>215</v>
      </c>
      <c r="E46" s="26" t="n">
        <v>3</v>
      </c>
      <c r="F46" s="21" t="n">
        <v>1</v>
      </c>
      <c r="G46" s="21" t="n">
        <v>2</v>
      </c>
      <c r="H46" s="26" t="n">
        <v>4</v>
      </c>
      <c r="I46" s="21" t="n">
        <v>1</v>
      </c>
      <c r="J46" s="26" t="n">
        <v>3</v>
      </c>
      <c r="K46" s="34" t="n">
        <f aca="false">ROUND('About This Plugin'!$D$6*E46+'About This Plugin'!$D$7*F46+'About This Plugin'!$D$8*G46+'About This Plugin'!$D$9*H46+'About This Plugin'!$D$10*I46+'About This Plugin'!$D$11*J46,2)</f>
        <v>2.35</v>
      </c>
      <c r="L46" s="33" t="s">
        <v>216</v>
      </c>
      <c r="M46" s="33" t="s">
        <v>217</v>
      </c>
    </row>
    <row r="47" customFormat="false" ht="30" hidden="false" customHeight="true" outlineLevel="0" collapsed="false">
      <c r="A47" s="24" t="s">
        <v>76</v>
      </c>
      <c r="B47" s="25" t="s">
        <v>77</v>
      </c>
      <c r="C47" s="24" t="s">
        <v>95</v>
      </c>
      <c r="D47" s="24" t="s">
        <v>218</v>
      </c>
      <c r="E47" s="26" t="n">
        <v>4</v>
      </c>
      <c r="F47" s="26" t="n">
        <v>3</v>
      </c>
      <c r="G47" s="26" t="n">
        <v>4</v>
      </c>
      <c r="H47" s="26" t="n">
        <v>4</v>
      </c>
      <c r="I47" s="26" t="n">
        <v>3</v>
      </c>
      <c r="J47" s="26" t="n">
        <v>4</v>
      </c>
      <c r="K47" s="35" t="n">
        <f aca="false">ROUND('About This Plugin'!$D$6*E47+'About This Plugin'!$D$7*F47+'About This Plugin'!$D$8*G47+'About This Plugin'!$D$9*H47+'About This Plugin'!$D$10*I47+'About This Plugin'!$D$11*J47,2)</f>
        <v>3.65</v>
      </c>
      <c r="L47" s="6" t="s">
        <v>219</v>
      </c>
      <c r="M47" s="6" t="s">
        <v>126</v>
      </c>
    </row>
    <row r="48" customFormat="false" ht="30" hidden="false" customHeight="true" outlineLevel="0" collapsed="false">
      <c r="A48" s="24" t="s">
        <v>76</v>
      </c>
      <c r="B48" s="25" t="s">
        <v>77</v>
      </c>
      <c r="C48" s="24" t="s">
        <v>103</v>
      </c>
      <c r="D48" s="24" t="s">
        <v>220</v>
      </c>
      <c r="E48" s="26" t="n">
        <v>3</v>
      </c>
      <c r="F48" s="26" t="n">
        <v>3</v>
      </c>
      <c r="G48" s="26" t="n">
        <v>4</v>
      </c>
      <c r="H48" s="26" t="n">
        <v>4</v>
      </c>
      <c r="I48" s="26" t="n">
        <v>3</v>
      </c>
      <c r="J48" s="21" t="n">
        <v>2</v>
      </c>
      <c r="K48" s="35" t="n">
        <f aca="false">ROUND('About This Plugin'!$D$6*E48+'About This Plugin'!$D$7*F48+'About This Plugin'!$D$8*G48+'About This Plugin'!$D$9*H48+'About This Plugin'!$D$10*I48+'About This Plugin'!$D$11*J48,2)</f>
        <v>3.25</v>
      </c>
      <c r="L48" s="6" t="s">
        <v>221</v>
      </c>
      <c r="M48" s="6" t="s">
        <v>126</v>
      </c>
    </row>
    <row r="49" customFormat="false" ht="30" hidden="false" customHeight="true" outlineLevel="0" collapsed="false">
      <c r="A49" s="24" t="s">
        <v>76</v>
      </c>
      <c r="B49" s="25" t="s">
        <v>77</v>
      </c>
      <c r="C49" s="24" t="s">
        <v>107</v>
      </c>
      <c r="D49" s="24" t="s">
        <v>222</v>
      </c>
      <c r="E49" s="26" t="n">
        <v>4</v>
      </c>
      <c r="F49" s="26" t="n">
        <v>3</v>
      </c>
      <c r="G49" s="26" t="n">
        <v>4</v>
      </c>
      <c r="H49" s="26" t="n">
        <v>4</v>
      </c>
      <c r="I49" s="26" t="n">
        <v>3</v>
      </c>
      <c r="J49" s="26" t="n">
        <v>3</v>
      </c>
      <c r="K49" s="35" t="n">
        <f aca="false">ROUND('About This Plugin'!$D$6*E49+'About This Plugin'!$D$7*F49+'About This Plugin'!$D$8*G49+'About This Plugin'!$D$9*H49+'About This Plugin'!$D$10*I49+'About This Plugin'!$D$11*J49,2)</f>
        <v>3.55</v>
      </c>
      <c r="L49" s="6" t="s">
        <v>223</v>
      </c>
      <c r="M49" s="6" t="s">
        <v>126</v>
      </c>
    </row>
    <row r="50" customFormat="false" ht="30" hidden="false" customHeight="true" outlineLevel="0" collapsed="false">
      <c r="A50" s="24" t="s">
        <v>76</v>
      </c>
      <c r="B50" s="25" t="s">
        <v>77</v>
      </c>
      <c r="C50" s="24" t="s">
        <v>111</v>
      </c>
      <c r="D50" s="24" t="s">
        <v>224</v>
      </c>
      <c r="E50" s="26" t="n">
        <v>4</v>
      </c>
      <c r="F50" s="26" t="n">
        <v>3</v>
      </c>
      <c r="G50" s="21" t="n">
        <v>2</v>
      </c>
      <c r="H50" s="26" t="n">
        <v>4</v>
      </c>
      <c r="I50" s="26" t="n">
        <v>3</v>
      </c>
      <c r="J50" s="26" t="n">
        <v>3</v>
      </c>
      <c r="K50" s="35" t="n">
        <f aca="false">ROUND('About This Plugin'!$D$6*E50+'About This Plugin'!$D$7*F50+'About This Plugin'!$D$8*G50+'About This Plugin'!$D$9*H50+'About This Plugin'!$D$10*I50+'About This Plugin'!$D$11*J50,2)</f>
        <v>3.25</v>
      </c>
      <c r="L50" s="6" t="s">
        <v>225</v>
      </c>
      <c r="M50" s="6" t="s">
        <v>126</v>
      </c>
    </row>
    <row r="51" customFormat="false" ht="30" hidden="false" customHeight="true" outlineLevel="0" collapsed="false">
      <c r="A51" s="24" t="s">
        <v>76</v>
      </c>
      <c r="B51" s="25" t="s">
        <v>77</v>
      </c>
      <c r="C51" s="24" t="s">
        <v>226</v>
      </c>
      <c r="D51" s="24" t="s">
        <v>227</v>
      </c>
      <c r="E51" s="26" t="n">
        <v>4</v>
      </c>
      <c r="F51" s="26" t="n">
        <v>3</v>
      </c>
      <c r="G51" s="26" t="n">
        <v>4</v>
      </c>
      <c r="H51" s="26" t="n">
        <v>4</v>
      </c>
      <c r="I51" s="26" t="n">
        <v>3</v>
      </c>
      <c r="J51" s="26" t="n">
        <v>3</v>
      </c>
      <c r="K51" s="35" t="n">
        <f aca="false">ROUND('About This Plugin'!$D$6*E51+'About This Plugin'!$D$7*F51+'About This Plugin'!$D$8*G51+'About This Plugin'!$D$9*H51+'About This Plugin'!$D$10*I51+'About This Plugin'!$D$11*J51,2)</f>
        <v>3.55</v>
      </c>
      <c r="L51" s="6" t="s">
        <v>228</v>
      </c>
      <c r="M51" s="6" t="s">
        <v>126</v>
      </c>
    </row>
    <row r="52" customFormat="false" ht="30" hidden="false" customHeight="true" outlineLevel="0" collapsed="false">
      <c r="A52" s="19" t="s">
        <v>78</v>
      </c>
      <c r="B52" s="20"/>
      <c r="C52" s="19"/>
      <c r="D52" s="19"/>
      <c r="E52" s="19"/>
      <c r="F52" s="19"/>
      <c r="G52" s="19"/>
      <c r="H52" s="19"/>
      <c r="I52" s="19"/>
      <c r="J52" s="19"/>
      <c r="K52" s="36"/>
      <c r="L52" s="33"/>
      <c r="M52" s="33"/>
    </row>
    <row r="54" customFormat="false" ht="15" hidden="false" customHeight="false" outlineLevel="0" collapsed="false">
      <c r="A54" s="17" t="s">
        <v>229</v>
      </c>
      <c r="B54" s="17"/>
      <c r="C54" s="17"/>
      <c r="D54" s="17"/>
      <c r="E54" s="17"/>
      <c r="F54" s="17"/>
      <c r="G54" s="17"/>
      <c r="H54" s="17"/>
      <c r="I54" s="17"/>
      <c r="J54" s="17"/>
      <c r="K54" s="17"/>
      <c r="L54" s="17"/>
      <c r="M54" s="17"/>
    </row>
    <row r="55" customFormat="false" ht="15" hidden="false" customHeight="false" outlineLevel="0" collapsed="false">
      <c r="A55" s="37" t="s">
        <v>79</v>
      </c>
      <c r="B55" s="38" t="s">
        <v>80</v>
      </c>
      <c r="C55" s="39" t="s">
        <v>81</v>
      </c>
      <c r="D55" s="40" t="s">
        <v>82</v>
      </c>
    </row>
  </sheetData>
  <mergeCells count="2">
    <mergeCell ref="A1:M1"/>
    <mergeCell ref="A54:M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2026-04-06T19:58:28Z</dcterms:created>
  <dc:creator>openpyxl</dc:creator>
  <dc:description/>
  <dc:language>en-US</dc:language>
  <cp:lastModifiedBy>ishaan bhartia</cp:lastModifiedBy>
  <dcterms:modified xsi:type="dcterms:W3CDTF">2026-10-27T20:19:00Z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